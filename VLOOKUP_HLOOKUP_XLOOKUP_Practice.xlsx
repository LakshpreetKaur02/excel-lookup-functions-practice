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preet\Documents\Excel\"/>
    </mc:Choice>
  </mc:AlternateContent>
  <xr:revisionPtr revIDLastSave="0" documentId="13_ncr:1_{E3F3628A-D7A1-4A5D-BC5E-146C0EFE7F8C}" xr6:coauthVersionLast="47" xr6:coauthVersionMax="47" xr10:uidLastSave="{00000000-0000-0000-0000-000000000000}"/>
  <bookViews>
    <workbookView xWindow="-108" yWindow="-108" windowWidth="23256" windowHeight="12456" firstSheet="3" activeTab="3" xr2:uid="{E4545AEE-4221-419F-BB1F-014E80591481}"/>
  </bookViews>
  <sheets>
    <sheet name="XLOOKUP" sheetId="1" r:id="rId1"/>
    <sheet name="DATA" sheetId="2" r:id="rId2"/>
    <sheet name="XLOOKUP ASSIGNMENT" sheetId="3" r:id="rId3"/>
    <sheet name="PARTA-VLOOKUP" sheetId="4" r:id="rId4"/>
    <sheet name="PARTB-HLOOKUP" sheetId="5" r:id="rId5"/>
    <sheet name="PARTC-XLOOKUP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8" i="6" l="1" a="1"/>
  <c r="L18" i="6" s="1"/>
  <c r="L19" i="6" a="1"/>
  <c r="L19" i="6" s="1"/>
  <c r="L20" i="6" a="1"/>
  <c r="L20" i="6" s="1"/>
  <c r="L21" i="6" a="1"/>
  <c r="L21" i="6" s="1"/>
  <c r="L22" i="6" a="1"/>
  <c r="L22" i="6" s="1"/>
  <c r="L23" i="6" a="1"/>
  <c r="L23" i="6" s="1"/>
  <c r="L24" i="6" a="1"/>
  <c r="L24" i="6" s="1"/>
  <c r="L17" i="6" a="1"/>
  <c r="L17" i="6" s="1"/>
  <c r="L29" i="6"/>
  <c r="L30" i="6"/>
  <c r="L31" i="6"/>
  <c r="L32" i="6"/>
  <c r="L33" i="6"/>
  <c r="L34" i="6"/>
  <c r="L35" i="6"/>
  <c r="L28" i="6"/>
  <c r="J19" i="5"/>
  <c r="M7" i="6"/>
  <c r="L12" i="6"/>
  <c r="L11" i="6"/>
  <c r="L7" i="6"/>
  <c r="L3" i="6"/>
  <c r="J24" i="5"/>
  <c r="J25" i="5"/>
  <c r="J23" i="5"/>
  <c r="J15" i="5"/>
  <c r="J10" i="5"/>
  <c r="J5" i="5"/>
  <c r="B39" i="4"/>
  <c r="B40" i="4"/>
  <c r="B41" i="4"/>
  <c r="B42" i="4"/>
  <c r="B43" i="4"/>
  <c r="B44" i="4"/>
  <c r="B45" i="4"/>
  <c r="B46" i="4"/>
  <c r="B38" i="4"/>
  <c r="B33" i="4"/>
  <c r="B28" i="4"/>
  <c r="A15" i="4" a="1"/>
  <c r="A15" i="4" s="1"/>
  <c r="N24" i="4" a="1"/>
  <c r="N24" i="4" s="1"/>
  <c r="N25" i="4" a="1"/>
  <c r="N25" i="4"/>
  <c r="N26" i="4" a="1"/>
  <c r="N26" i="4" s="1"/>
  <c r="N27" i="4" a="1"/>
  <c r="N27" i="4"/>
  <c r="N28" i="4" a="1"/>
  <c r="N28" i="4" s="1"/>
  <c r="N29" i="4" a="1"/>
  <c r="N29" i="4"/>
  <c r="N30" i="4" a="1"/>
  <c r="N30" i="4" s="1"/>
  <c r="N23" i="4" a="1"/>
  <c r="N23" i="4" s="1"/>
  <c r="L24" i="4" a="1"/>
  <c r="L24" i="4" s="1"/>
  <c r="L25" i="4" a="1"/>
  <c r="L25" i="4" s="1"/>
  <c r="L26" i="4" a="1"/>
  <c r="L26" i="4" s="1"/>
  <c r="L27" i="4" a="1"/>
  <c r="L27" i="4" s="1"/>
  <c r="L28" i="4" a="1"/>
  <c r="L28" i="4" s="1"/>
  <c r="L29" i="4" a="1"/>
  <c r="L29" i="4" s="1"/>
  <c r="L30" i="4" a="1"/>
  <c r="L30" i="4" s="1"/>
  <c r="L23" i="4" a="1"/>
  <c r="L23" i="4" s="1"/>
  <c r="M23" i="4"/>
  <c r="M24" i="4" s="1"/>
  <c r="M25" i="4" s="1"/>
  <c r="M26" i="4" s="1"/>
  <c r="M27" i="4" s="1"/>
  <c r="M28" i="4" s="1"/>
  <c r="M29" i="4" s="1"/>
  <c r="M30" i="4" s="1"/>
  <c r="L13" i="4"/>
  <c r="L14" i="4"/>
  <c r="L15" i="4"/>
  <c r="L16" i="4"/>
  <c r="L17" i="4"/>
  <c r="L18" i="4"/>
  <c r="L19" i="4"/>
  <c r="L12" i="4"/>
  <c r="L8" i="4"/>
  <c r="L4" i="4"/>
  <c r="K23" i="3"/>
  <c r="N15" i="3" l="1" a="1"/>
  <c r="N15" i="3" s="1"/>
  <c r="M15" i="3" a="1"/>
  <c r="M15" i="3" s="1"/>
  <c r="N4" i="3" a="1"/>
  <c r="N4" i="3" s="1"/>
  <c r="N5" i="3" a="1"/>
  <c r="N5" i="3" s="1"/>
  <c r="N6" i="3" a="1"/>
  <c r="N6" i="3" s="1"/>
  <c r="N7" i="3" a="1"/>
  <c r="N7" i="3" s="1"/>
  <c r="N8" i="3" a="1"/>
  <c r="N8" i="3" s="1"/>
  <c r="N9" i="3" a="1"/>
  <c r="N9" i="3" s="1"/>
  <c r="N10" i="3" a="1"/>
  <c r="N10" i="3" s="1"/>
  <c r="N11" i="3" a="1"/>
  <c r="N11" i="3" s="1"/>
  <c r="N12" i="3" a="1"/>
  <c r="N12" i="3" s="1"/>
  <c r="N13" i="3" a="1"/>
  <c r="N13" i="3" s="1"/>
  <c r="N3" i="3" a="1"/>
  <c r="N3" i="3" s="1"/>
  <c r="M13" i="3" a="1"/>
  <c r="M13" i="3" s="1"/>
  <c r="J13" i="3" a="1"/>
  <c r="J13" i="3" s="1"/>
  <c r="I13" i="3" a="1"/>
  <c r="I13" i="3" s="1"/>
  <c r="J3" i="3" a="1"/>
  <c r="J3" i="3" s="1"/>
  <c r="J4" i="3" a="1"/>
  <c r="J4" i="3" s="1"/>
  <c r="J5" i="3" a="1"/>
  <c r="J5" i="3" s="1"/>
  <c r="J6" i="3" a="1"/>
  <c r="J6" i="3" s="1"/>
  <c r="J7" i="3" a="1"/>
  <c r="J7" i="3" s="1"/>
  <c r="J8" i="3" a="1"/>
  <c r="J8" i="3" s="1"/>
  <c r="J9" i="3" a="1"/>
  <c r="J9" i="3" s="1"/>
  <c r="J10" i="3" a="1"/>
  <c r="J10" i="3" s="1"/>
  <c r="J11" i="3" a="1"/>
  <c r="J11" i="3" s="1"/>
  <c r="J12" i="3" a="1"/>
  <c r="J12" i="3" s="1"/>
  <c r="M4" i="3" a="1"/>
  <c r="M4" i="3" s="1"/>
  <c r="M5" i="3" a="1"/>
  <c r="M5" i="3"/>
  <c r="M6" i="3" a="1"/>
  <c r="M6" i="3" s="1"/>
  <c r="M7" i="3" a="1"/>
  <c r="M7" i="3" s="1"/>
  <c r="M8" i="3" a="1"/>
  <c r="M8" i="3" s="1"/>
  <c r="M9" i="3" a="1"/>
  <c r="M9" i="3" s="1"/>
  <c r="M10" i="3" a="1"/>
  <c r="M10" i="3" s="1"/>
  <c r="M11" i="3" a="1"/>
  <c r="M11" i="3" s="1"/>
  <c r="M12" i="3" a="1"/>
  <c r="M12" i="3" s="1"/>
  <c r="M3" i="3" a="1"/>
  <c r="M3" i="3" s="1"/>
  <c r="I5" i="3" a="1"/>
  <c r="I5" i="3" s="1"/>
  <c r="I6" i="3" a="1"/>
  <c r="I6" i="3" s="1"/>
  <c r="I7" i="3" a="1"/>
  <c r="I7" i="3"/>
  <c r="I8" i="3" a="1"/>
  <c r="I8" i="3" s="1"/>
  <c r="I9" i="3" a="1"/>
  <c r="I9" i="3" s="1"/>
  <c r="I10" i="3" a="1"/>
  <c r="I10" i="3" s="1"/>
  <c r="I11" i="3" a="1"/>
  <c r="I11" i="3" s="1"/>
  <c r="I12" i="3" a="1"/>
  <c r="I12" i="3"/>
  <c r="I4" i="3" a="1"/>
  <c r="I4" i="3" s="1"/>
  <c r="I3" i="3" a="1"/>
  <c r="I3" i="3" s="1"/>
  <c r="C8" i="1"/>
  <c r="C9" i="1"/>
  <c r="C10" i="1"/>
  <c r="C11" i="1"/>
  <c r="C12" i="1"/>
  <c r="C13" i="1"/>
  <c r="C14" i="1"/>
  <c r="C15" i="1"/>
  <c r="C16" i="1"/>
  <c r="C17" i="1"/>
  <c r="C18" i="1"/>
  <c r="C7" i="1"/>
  <c r="B18" i="1"/>
  <c r="B8" i="1"/>
  <c r="B9" i="1"/>
  <c r="B10" i="1"/>
  <c r="B11" i="1"/>
  <c r="B12" i="1"/>
  <c r="B13" i="1"/>
  <c r="B14" i="1"/>
  <c r="B15" i="1"/>
  <c r="B16" i="1"/>
  <c r="B17" i="1"/>
  <c r="B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<sst xmlns="http://schemas.openxmlformats.org/spreadsheetml/2006/main" count="444" uniqueCount="147">
  <si>
    <t>XLOOKUP</t>
  </si>
  <si>
    <t>Syntax is XLOOKUP(lookup_value, lookup_array, return_array, [if_not_found], [match_mode], [search_mode])</t>
  </si>
  <si>
    <t>Employee ID</t>
  </si>
  <si>
    <t>ID18</t>
  </si>
  <si>
    <t>ID8</t>
  </si>
  <si>
    <t>ID5</t>
  </si>
  <si>
    <t>ID15</t>
  </si>
  <si>
    <t>ID46</t>
  </si>
  <si>
    <t>ID85</t>
  </si>
  <si>
    <t>ID12</t>
  </si>
  <si>
    <t>ID45</t>
  </si>
  <si>
    <t>IUD35</t>
  </si>
  <si>
    <t>ID25</t>
  </si>
  <si>
    <t>ID16</t>
  </si>
  <si>
    <t>ID88</t>
  </si>
  <si>
    <t>ID55</t>
  </si>
  <si>
    <t>ID10</t>
  </si>
  <si>
    <t>ID9</t>
  </si>
  <si>
    <t>ID26</t>
  </si>
  <si>
    <t>ID23</t>
  </si>
  <si>
    <t>ID71</t>
  </si>
  <si>
    <t>Departments</t>
  </si>
  <si>
    <t>Sales</t>
  </si>
  <si>
    <t>Marketing</t>
  </si>
  <si>
    <t>HR</t>
  </si>
  <si>
    <t>Production</t>
  </si>
  <si>
    <t>Loan</t>
  </si>
  <si>
    <t>Employee</t>
  </si>
  <si>
    <t>AMAN SHARMA</t>
  </si>
  <si>
    <t>SIMRAN KAUR</t>
  </si>
  <si>
    <t>HARPREET SINGH</t>
  </si>
  <si>
    <t>GURLEEN KAUR</t>
  </si>
  <si>
    <t>MANPREET SINGH</t>
  </si>
  <si>
    <t>JASLEEN KAUR</t>
  </si>
  <si>
    <t>KARAN VERMA</t>
  </si>
  <si>
    <t>NAVDEEP SINGH</t>
  </si>
  <si>
    <t>RAJVEER SINGH</t>
  </si>
  <si>
    <t>KOMAL SHARMA</t>
  </si>
  <si>
    <t>AMANDEEP KAUR</t>
  </si>
  <si>
    <t>SUKHMAN SINGH</t>
  </si>
  <si>
    <t>PRIYA MEHTA</t>
  </si>
  <si>
    <t>ROHIT KUMAR</t>
  </si>
  <si>
    <t>NEHA SHARMA</t>
  </si>
  <si>
    <t>ARJUN SINGH</t>
  </si>
  <si>
    <t>MEHAK KAUR</t>
  </si>
  <si>
    <t>RIYA GUPTA</t>
  </si>
  <si>
    <t>LOVEPREET SINGH</t>
  </si>
  <si>
    <t>abc</t>
  </si>
  <si>
    <t>EMP ID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</si>
  <si>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</si>
  <si>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</si>
  <si>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</si>
  <si>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</si>
  <si>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</si>
  <si>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</si>
  <si>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</si>
  <si>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</si>
  <si>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</si>
  <si>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</si>
  <si>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EMPLOYEE NAME</t>
  </si>
  <si>
    <t>AMAN</t>
  </si>
  <si>
    <t>SIMRAN</t>
  </si>
  <si>
    <t>RAHUL</t>
  </si>
  <si>
    <t>PRIYA</t>
  </si>
  <si>
    <t>KARAN</t>
  </si>
  <si>
    <t>NEHA</t>
  </si>
  <si>
    <t>ARJUN</t>
  </si>
  <si>
    <t>MEENA</t>
  </si>
  <si>
    <t>ROHIT</t>
  </si>
  <si>
    <t>POOJA</t>
  </si>
  <si>
    <t>DEPARTMENT</t>
  </si>
  <si>
    <t>SALES</t>
  </si>
  <si>
    <t>IT</t>
  </si>
  <si>
    <t>FINANCE</t>
  </si>
  <si>
    <t>MARKETING</t>
  </si>
  <si>
    <t>DESIGNATION</t>
  </si>
  <si>
    <t>MANAGER</t>
  </si>
  <si>
    <t>EXECUTIVE</t>
  </si>
  <si>
    <t>DEVELOPER</t>
  </si>
  <si>
    <t>ACCOUNTANT</t>
  </si>
  <si>
    <t>OFFICER</t>
  </si>
  <si>
    <t>ANALYST</t>
  </si>
  <si>
    <t>ASSISTANT</t>
  </si>
  <si>
    <t>COORDINATOR</t>
  </si>
  <si>
    <t>CITY</t>
  </si>
  <si>
    <t>CHANDIGARH</t>
  </si>
  <si>
    <t>AMRITSAR</t>
  </si>
  <si>
    <t>LUDHIANA</t>
  </si>
  <si>
    <t>PATIALA</t>
  </si>
  <si>
    <t>JALANDHAR</t>
  </si>
  <si>
    <t>MOHALI</t>
  </si>
  <si>
    <t>DELHI</t>
  </si>
  <si>
    <t>AMBALA</t>
  </si>
  <si>
    <t>BATHINDA</t>
  </si>
  <si>
    <t>SALARY</t>
  </si>
  <si>
    <t>EMP NAME</t>
  </si>
  <si>
    <t>E111</t>
  </si>
  <si>
    <t>SIYA</t>
  </si>
  <si>
    <t>E12</t>
  </si>
  <si>
    <t>#MIX ASSIGNMENT</t>
  </si>
  <si>
    <t xml:space="preserve">RAHUL </t>
  </si>
  <si>
    <t>KABIR</t>
  </si>
  <si>
    <t xml:space="preserve">BASIC SALARY </t>
  </si>
  <si>
    <t>HRA</t>
  </si>
  <si>
    <t>BONUS</t>
  </si>
  <si>
    <t>EXPERIENCE</t>
  </si>
  <si>
    <t>BASIC SALARY</t>
  </si>
  <si>
    <t>NAME</t>
  </si>
  <si>
    <t>TOTAL SALARY</t>
  </si>
  <si>
    <t>#7=CHOOSE FUNCTION</t>
  </si>
  <si>
    <t>#1</t>
  </si>
  <si>
    <t>#2</t>
  </si>
  <si>
    <t>#3</t>
  </si>
  <si>
    <t>#4</t>
  </si>
  <si>
    <t>#5</t>
  </si>
  <si>
    <t>#6</t>
  </si>
  <si>
    <t>#8</t>
  </si>
  <si>
    <t>#9</t>
  </si>
  <si>
    <t>#10</t>
  </si>
  <si>
    <t>#PART B HLOOKUP</t>
  </si>
  <si>
    <t>PRODUCT ID</t>
  </si>
  <si>
    <t>P101</t>
  </si>
  <si>
    <t>P102</t>
  </si>
  <si>
    <t>P103</t>
  </si>
  <si>
    <t>P104</t>
  </si>
  <si>
    <t>P105</t>
  </si>
  <si>
    <t xml:space="preserve">PRODUCT NAME </t>
  </si>
  <si>
    <t>PRICE</t>
  </si>
  <si>
    <t>STOCK</t>
  </si>
  <si>
    <t>KEYBOARD</t>
  </si>
  <si>
    <t>MOUSE</t>
  </si>
  <si>
    <t>PRINTER</t>
  </si>
  <si>
    <t>SCANNER</t>
  </si>
  <si>
    <t>MONITOR</t>
  </si>
  <si>
    <t>PRODUCT NAME</t>
  </si>
  <si>
    <t>P106</t>
  </si>
  <si>
    <t>CITY USING XLOOKUP</t>
  </si>
  <si>
    <t>CITY USING VLOOKUP</t>
  </si>
  <si>
    <t>#5 (MATCH FUNCTION)</t>
  </si>
  <si>
    <t>LOOKUP-VALUE</t>
  </si>
  <si>
    <t xml:space="preserve">DATA TABLE : </t>
  </si>
  <si>
    <t xml:space="preserve">DATA TABLE </t>
  </si>
  <si>
    <t>(MATCH)</t>
  </si>
  <si>
    <t>LOOK-UP VALUE</t>
  </si>
  <si>
    <t>PART-A : VLOOKUP</t>
  </si>
  <si>
    <t>PART-C : XLOOKUP</t>
  </si>
  <si>
    <t>(CHOOSE FUNC)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</si>
</sst>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0" fillId="2" borderId="2" xfId="0" applyFill="1" applyBorder="1"/>
    <xf numFmtId="0" fontId="0" fillId="0" borderId="2" xfId="0" applyBorder="1"/>
    <xf numFmtId="0" fontId="0" fillId="2" borderId="0" xfId="0" applyFill="1"/>
    <xf numFmtId="0" fontId="4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/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1" xfId="0" applyFill="1" applyBorder="1"/>
    <xf numFmtId="0" fontId="6" fillId="5" borderId="1" xfId="0" applyFont="1" applyFill="1" applyBorder="1"/>
    <xf numFmtId="0" fontId="0" fillId="5" borderId="4" xfId="0" applyFill="1" applyBorder="1"/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0" xfId="0" applyFont="1"/>
    <xf numFmtId="0" fontId="7" fillId="3" borderId="3" xfId="0" applyFont="1" applyFill="1" applyBorder="1"/>
    <xf numFmtId="0" fontId="0" fillId="0" borderId="5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732D5-4CB2-4662-8231-7A2EBEFA3347}" name="Table1" displayName="Table1" ref="A1:F12" totalsRowShown="0">
  <autoFilter ref="A1:F12" xr:uid="{674732D5-4CB2-4662-8231-7A2EBEFA3347}"/>
  <tableColumns count="6">
    <tableColumn id="1" xr3:uid="{71189E83-53E0-420E-9D94-8F05AEE4518A}" name="EMP ID"/>
    <tableColumn id="2" xr3:uid="{5C5994C3-FCF1-482E-81C7-8C0ED2544CF7}" name="EMPLOYEE NAME"/>
    <tableColumn id="3" xr3:uid="{FEBBA7F8-03D3-46FF-8C96-8AE41C2554D0}" name="DEPARTMENT"/>
    <tableColumn id="4" xr3:uid="{F251B4FA-8D2C-46E7-BFB2-EBBFCF262A09}" name="DESIGNATION"/>
    <tableColumn id="5" xr3:uid="{F3B6F0BE-C154-48D3-B322-5AAE37CD8036}" name="CITY"/>
    <tableColumn id="6" xr3:uid="{544B7A08-3097-4704-A0BE-A8A5109D1BB1}" name="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FBE-34C6-4F5A-AE38-203AE670279E}">
  <dimension ref="A1:C18"/>
  <sheetViews>
    <sheetView zoomScale="111" workbookViewId="0">
      <selection activeCell="D20" sqref="D20"/>
    </sheetView>
  </sheetViews>
  <sheetFormatPr defaultRowHeight="15.6" x14ac:dyDescent="0.3"/>
  <cols>
    <col min="1" max="1" width="17.88671875" style="1" customWidth="1"/>
    <col min="2" max="2" width="16.6640625" style="1" customWidth="1"/>
    <col min="3" max="3" width="10.33203125" style="1" bestFit="1" customWidth="1"/>
    <col min="4" max="4" width="12.88671875" style="1" customWidth="1"/>
    <col min="5" max="16384" width="8.88671875" style="1"/>
  </cols>
  <sheetData>
    <row r="1" spans="1:3" ht="18" x14ac:dyDescent="0.35">
      <c r="A1" s="3" t="s">
        <v>0</v>
      </c>
    </row>
    <row r="3" spans="1:3" x14ac:dyDescent="0.3">
      <c r="A3" s="2" t="s">
        <v>1</v>
      </c>
      <c r="B3"/>
    </row>
    <row r="6" spans="1:3" x14ac:dyDescent="0.3">
      <c r="A6" s="6" t="s">
        <v>27</v>
      </c>
      <c r="B6" s="6" t="s">
        <v>2</v>
      </c>
      <c r="C6" s="6" t="s">
        <v>22</v>
      </c>
    </row>
    <row r="7" spans="1:3" x14ac:dyDescent="0.3">
      <c r="A7" s="5" t="s">
        <v>32</v>
      </c>
      <c r="B7" s="5" t="str">
        <f>_xlfn.XLOOKUP(XLOOKUP!A7,DATA!$C$2:$C$21,DATA!$A$2:$A$21,"Not Applicable",0,1)</f>
        <v>ID46</v>
      </c>
      <c r="C7" s="5">
        <f>_xlfn.XLOOKUP(A7,DATA!$C$2:$C$21,DATA!$D$2:$D$21,"not found",0,1)</f>
        <v>46000</v>
      </c>
    </row>
    <row r="8" spans="1:3" x14ac:dyDescent="0.3">
      <c r="A8" s="5" t="s">
        <v>33</v>
      </c>
      <c r="B8" s="5" t="str">
        <f>_xlfn.XLOOKUP(XLOOKUP!A8,DATA!$C$2:$C$21,DATA!$A$2:$A$21,"Not Applicable",0,1)</f>
        <v>ID85</v>
      </c>
      <c r="C8" s="5">
        <f>_xlfn.XLOOKUP(A8,DATA!$C$2:$C$21,DATA!$D$2:$D$21,"not found",0,1)</f>
        <v>23000</v>
      </c>
    </row>
    <row r="9" spans="1:3" x14ac:dyDescent="0.3">
      <c r="A9" s="5" t="s">
        <v>34</v>
      </c>
      <c r="B9" s="5" t="str">
        <f>_xlfn.XLOOKUP(XLOOKUP!A9,DATA!$C$2:$C$21,DATA!$A$2:$A$21,"Not Applicable",0,1)</f>
        <v>ID12</v>
      </c>
      <c r="C9" s="5">
        <f>_xlfn.XLOOKUP(A9,DATA!$C$2:$C$21,DATA!$D$2:$D$21,"not found",0,1)</f>
        <v>21500</v>
      </c>
    </row>
    <row r="10" spans="1:3" x14ac:dyDescent="0.3">
      <c r="A10" s="5" t="s">
        <v>35</v>
      </c>
      <c r="B10" s="5" t="str">
        <f>_xlfn.XLOOKUP(XLOOKUP!A10,DATA!$C$2:$C$21,DATA!$A$2:$A$21,"Not Applicable",0,1)</f>
        <v>ID45</v>
      </c>
      <c r="C10" s="5">
        <f>_xlfn.XLOOKUP(A10,DATA!$C$2:$C$21,DATA!$D$2:$D$21,"not found",0,1)</f>
        <v>852000</v>
      </c>
    </row>
    <row r="11" spans="1:3" x14ac:dyDescent="0.3">
      <c r="A11" s="5" t="s">
        <v>36</v>
      </c>
      <c r="B11" s="5" t="str">
        <f>_xlfn.XLOOKUP(XLOOKUP!A11,DATA!$C$2:$C$21,DATA!$A$2:$A$21,"Not Applicable",0,1)</f>
        <v>IUD35</v>
      </c>
      <c r="C11" s="5">
        <f>_xlfn.XLOOKUP(A11,DATA!$C$2:$C$21,DATA!$D$2:$D$21,"not found",0,1)</f>
        <v>75200</v>
      </c>
    </row>
    <row r="12" spans="1:3" x14ac:dyDescent="0.3">
      <c r="A12" s="5" t="s">
        <v>37</v>
      </c>
      <c r="B12" s="5" t="str">
        <f>_xlfn.XLOOKUP(XLOOKUP!A12,DATA!$C$2:$C$21,DATA!$A$2:$A$21,"Not Applicable",0,1)</f>
        <v>ID25</v>
      </c>
      <c r="C12" s="5">
        <f>_xlfn.XLOOKUP(A12,DATA!$C$2:$C$21,DATA!$D$2:$D$21,"not found",0,1)</f>
        <v>9560</v>
      </c>
    </row>
    <row r="13" spans="1:3" x14ac:dyDescent="0.3">
      <c r="A13" s="5" t="s">
        <v>38</v>
      </c>
      <c r="B13" s="5" t="str">
        <f>_xlfn.XLOOKUP(XLOOKUP!A13,DATA!$C$2:$C$21,DATA!$A$2:$A$21,"Not Applicable",0,1)</f>
        <v>ID16</v>
      </c>
      <c r="C13" s="5">
        <f>_xlfn.XLOOKUP(A13,DATA!$C$2:$C$21,DATA!$D$2:$D$21,"not found",0,1)</f>
        <v>75200</v>
      </c>
    </row>
    <row r="14" spans="1:3" x14ac:dyDescent="0.3">
      <c r="A14" s="5" t="s">
        <v>39</v>
      </c>
      <c r="B14" s="5" t="str">
        <f>_xlfn.XLOOKUP(XLOOKUP!A14,DATA!$C$2:$C$21,DATA!$A$2:$A$21,"Not Applicable",0,1)</f>
        <v>ID88</v>
      </c>
      <c r="C14" s="5">
        <f>_xlfn.XLOOKUP(A14,DATA!$C$2:$C$21,DATA!$D$2:$D$21,"not found",0,1)</f>
        <v>56000</v>
      </c>
    </row>
    <row r="15" spans="1:3" x14ac:dyDescent="0.3">
      <c r="A15" s="5" t="s">
        <v>29</v>
      </c>
      <c r="B15" s="5" t="str">
        <f>_xlfn.XLOOKUP(XLOOKUP!A15,DATA!$C$2:$C$21,DATA!$A$2:$A$21,"Not Applicable",0,1)</f>
        <v>ID8</v>
      </c>
      <c r="C15" s="5">
        <f>_xlfn.XLOOKUP(A15,DATA!$C$2:$C$21,DATA!$D$2:$D$21,"not found",0,1)</f>
        <v>45200</v>
      </c>
    </row>
    <row r="16" spans="1:3" x14ac:dyDescent="0.3">
      <c r="A16" s="5" t="s">
        <v>30</v>
      </c>
      <c r="B16" s="5" t="str">
        <f>_xlfn.XLOOKUP(XLOOKUP!A16,DATA!$C$2:$C$21,DATA!$A$2:$A$21,"Not Applicable",0,1)</f>
        <v>ID5</v>
      </c>
      <c r="C16" s="5">
        <f>_xlfn.XLOOKUP(A16,DATA!$C$2:$C$21,DATA!$D$2:$D$21,"not found",0,1)</f>
        <v>852000</v>
      </c>
    </row>
    <row r="17" spans="1:3" x14ac:dyDescent="0.3">
      <c r="A17" s="5" t="s">
        <v>31</v>
      </c>
      <c r="B17" s="5" t="str">
        <f>_xlfn.XLOOKUP(XLOOKUP!A17,DATA!$C$2:$C$21,DATA!$A$2:$A$21,"Not Applicable",0,1)</f>
        <v>ID15</v>
      </c>
      <c r="C17" s="5">
        <f>_xlfn.XLOOKUP(A17,DATA!$C$2:$C$21,DATA!$D$2:$D$21,"not found",0,1)</f>
        <v>95000</v>
      </c>
    </row>
    <row r="18" spans="1:3" x14ac:dyDescent="0.3">
      <c r="A18" s="1" t="s">
        <v>47</v>
      </c>
      <c r="B18" s="5" t="str">
        <f>_xlfn.XLOOKUP(XLOOKUP!A18,DATA!$C$2:$C$21,DATA!$A$2:$A$21,"Not Applicable",0,1)</f>
        <v>Not Applicable</v>
      </c>
      <c r="C18" s="5" t="str">
        <f>_xlfn.XLOOKUP(A18,DATA!$C$2:$C$21,DATA!$D$2:$D$21,"not found",0,1)</f>
        <v>not found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26C8-3CF6-41A2-AE08-1C663DCC334A}">
  <dimension ref="A2:D21"/>
  <sheetViews>
    <sheetView workbookViewId="0">
      <selection activeCell="G7" sqref="G7"/>
    </sheetView>
  </sheetViews>
  <sheetFormatPr defaultRowHeight="15.6" x14ac:dyDescent="0.3"/>
  <cols>
    <col min="1" max="1" width="17.33203125" style="1" customWidth="1"/>
    <col min="2" max="2" width="17.6640625" style="1" customWidth="1"/>
    <col min="3" max="3" width="20" style="1" customWidth="1"/>
    <col min="4" max="4" width="10.33203125" style="1" customWidth="1"/>
    <col min="5" max="16384" width="8.88671875" style="1"/>
  </cols>
  <sheetData>
    <row r="2" spans="1:4" s="3" customFormat="1" ht="18" x14ac:dyDescent="0.35">
      <c r="A2" s="4" t="s">
        <v>2</v>
      </c>
      <c r="B2" s="4" t="s">
        <v>21</v>
      </c>
      <c r="C2" s="4" t="s">
        <v>27</v>
      </c>
      <c r="D2" s="4" t="s">
        <v>22</v>
      </c>
    </row>
    <row r="3" spans="1:4" x14ac:dyDescent="0.3">
      <c r="A3" s="5" t="s">
        <v>3</v>
      </c>
      <c r="B3" s="5" t="s">
        <v>22</v>
      </c>
      <c r="C3" s="5" t="s">
        <v>28</v>
      </c>
      <c r="D3" s="5">
        <v>56200</v>
      </c>
    </row>
    <row r="4" spans="1:4" x14ac:dyDescent="0.3">
      <c r="A4" s="5" t="s">
        <v>4</v>
      </c>
      <c r="B4" s="5" t="s">
        <v>23</v>
      </c>
      <c r="C4" s="5" t="s">
        <v>29</v>
      </c>
      <c r="D4" s="5">
        <v>45200</v>
      </c>
    </row>
    <row r="5" spans="1:4" x14ac:dyDescent="0.3">
      <c r="A5" s="5" t="s">
        <v>5</v>
      </c>
      <c r="B5" s="5" t="s">
        <v>24</v>
      </c>
      <c r="C5" s="5" t="s">
        <v>30</v>
      </c>
      <c r="D5" s="5">
        <v>852000</v>
      </c>
    </row>
    <row r="6" spans="1:4" x14ac:dyDescent="0.3">
      <c r="A6" s="5" t="s">
        <v>6</v>
      </c>
      <c r="B6" s="5" t="s">
        <v>25</v>
      </c>
      <c r="C6" s="5" t="s">
        <v>31</v>
      </c>
      <c r="D6" s="5">
        <v>95000</v>
      </c>
    </row>
    <row r="7" spans="1:4" x14ac:dyDescent="0.3">
      <c r="A7" s="5" t="s">
        <v>7</v>
      </c>
      <c r="B7" s="5" t="s">
        <v>26</v>
      </c>
      <c r="C7" s="5" t="s">
        <v>32</v>
      </c>
      <c r="D7" s="5">
        <v>46000</v>
      </c>
    </row>
    <row r="8" spans="1:4" x14ac:dyDescent="0.3">
      <c r="A8" s="5" t="s">
        <v>8</v>
      </c>
      <c r="B8" s="5" t="s">
        <v>22</v>
      </c>
      <c r="C8" s="5" t="s">
        <v>33</v>
      </c>
      <c r="D8" s="5">
        <v>23000</v>
      </c>
    </row>
    <row r="9" spans="1:4" x14ac:dyDescent="0.3">
      <c r="A9" s="5" t="s">
        <v>9</v>
      </c>
      <c r="B9" s="5" t="s">
        <v>23</v>
      </c>
      <c r="C9" s="5" t="s">
        <v>34</v>
      </c>
      <c r="D9" s="5">
        <v>21500</v>
      </c>
    </row>
    <row r="10" spans="1:4" x14ac:dyDescent="0.3">
      <c r="A10" s="5" t="s">
        <v>10</v>
      </c>
      <c r="B10" s="5" t="s">
        <v>24</v>
      </c>
      <c r="C10" s="5" t="s">
        <v>35</v>
      </c>
      <c r="D10" s="5">
        <v>852000</v>
      </c>
    </row>
    <row r="11" spans="1:4" x14ac:dyDescent="0.3">
      <c r="A11" s="5" t="s">
        <v>11</v>
      </c>
      <c r="B11" s="5" t="s">
        <v>25</v>
      </c>
      <c r="C11" s="5" t="s">
        <v>36</v>
      </c>
      <c r="D11" s="5">
        <v>75200</v>
      </c>
    </row>
    <row r="12" spans="1:4" x14ac:dyDescent="0.3">
      <c r="A12" s="5" t="s">
        <v>12</v>
      </c>
      <c r="B12" s="5" t="s">
        <v>26</v>
      </c>
      <c r="C12" s="5" t="s">
        <v>37</v>
      </c>
      <c r="D12" s="5">
        <v>9560</v>
      </c>
    </row>
    <row r="13" spans="1:4" x14ac:dyDescent="0.3">
      <c r="A13" s="5" t="s">
        <v>13</v>
      </c>
      <c r="B13" s="5" t="s">
        <v>24</v>
      </c>
      <c r="C13" s="5" t="s">
        <v>38</v>
      </c>
      <c r="D13" s="5">
        <v>75200</v>
      </c>
    </row>
    <row r="14" spans="1:4" x14ac:dyDescent="0.3">
      <c r="A14" s="5" t="s">
        <v>14</v>
      </c>
      <c r="B14" s="5" t="s">
        <v>25</v>
      </c>
      <c r="C14" s="5" t="s">
        <v>39</v>
      </c>
      <c r="D14" s="5">
        <v>56000</v>
      </c>
    </row>
    <row r="15" spans="1:4" x14ac:dyDescent="0.3">
      <c r="A15" s="5" t="s">
        <v>15</v>
      </c>
      <c r="B15" s="5" t="s">
        <v>26</v>
      </c>
      <c r="C15" s="5" t="s">
        <v>40</v>
      </c>
      <c r="D15" s="5">
        <v>85400</v>
      </c>
    </row>
    <row r="16" spans="1:4" x14ac:dyDescent="0.3">
      <c r="A16" s="5" t="s">
        <v>16</v>
      </c>
      <c r="B16" s="5" t="s">
        <v>22</v>
      </c>
      <c r="C16" s="5" t="s">
        <v>41</v>
      </c>
      <c r="D16" s="5">
        <v>65000</v>
      </c>
    </row>
    <row r="17" spans="1:4" x14ac:dyDescent="0.3">
      <c r="A17" s="5" t="s">
        <v>17</v>
      </c>
      <c r="B17" s="5" t="s">
        <v>23</v>
      </c>
      <c r="C17" s="5" t="s">
        <v>42</v>
      </c>
      <c r="D17" s="5">
        <v>95000</v>
      </c>
    </row>
    <row r="18" spans="1:4" x14ac:dyDescent="0.3">
      <c r="A18" s="5" t="s">
        <v>18</v>
      </c>
      <c r="B18" s="5" t="s">
        <v>24</v>
      </c>
      <c r="C18" s="5" t="s">
        <v>43</v>
      </c>
      <c r="D18" s="5">
        <v>46000</v>
      </c>
    </row>
    <row r="19" spans="1:4" x14ac:dyDescent="0.3">
      <c r="A19" s="5" t="s">
        <v>16</v>
      </c>
      <c r="B19" s="5" t="s">
        <v>23</v>
      </c>
      <c r="C19" s="5" t="s">
        <v>44</v>
      </c>
      <c r="D19" s="5">
        <v>85000</v>
      </c>
    </row>
    <row r="20" spans="1:4" x14ac:dyDescent="0.3">
      <c r="A20" s="5" t="s">
        <v>19</v>
      </c>
      <c r="B20" s="5" t="s">
        <v>24</v>
      </c>
      <c r="C20" s="5" t="s">
        <v>45</v>
      </c>
      <c r="D20" s="5">
        <v>45000</v>
      </c>
    </row>
    <row r="21" spans="1:4" x14ac:dyDescent="0.3">
      <c r="A21" s="5" t="s">
        <v>20</v>
      </c>
      <c r="B21" s="5" t="s">
        <v>25</v>
      </c>
      <c r="C21" s="5" t="s">
        <v>46</v>
      </c>
      <c r="D21" s="5">
        <v>69000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5F2F-F208-4397-ACA6-7AD4D6DB20C0}">
  <dimension ref="A1:N30"/>
  <sheetViews>
    <sheetView topLeftCell="A6" workbookViewId="0">
      <selection activeCell="A20" sqref="A20:XFD30"/>
    </sheetView>
  </sheetViews>
  <sheetFormatPr defaultRowHeight="14.4" x14ac:dyDescent="0.3"/>
  <cols>
    <col min="1" max="1" width="9" customWidth="1"/>
    <col min="2" max="2" width="17.77734375" customWidth="1"/>
    <col min="3" max="4" width="14.6640625" customWidth="1"/>
    <col min="5" max="5" width="12.21875" bestFit="1" customWidth="1"/>
    <col min="6" max="6" width="9.33203125" customWidth="1"/>
    <col min="7" max="7" width="11.109375" bestFit="1" customWidth="1"/>
    <col min="8" max="8" width="12.21875" bestFit="1" customWidth="1"/>
    <col min="9" max="9" width="12.44140625" bestFit="1" customWidth="1"/>
    <col min="10" max="10" width="12.21875" bestFit="1" customWidth="1"/>
    <col min="12" max="12" width="10.21875" bestFit="1" customWidth="1"/>
  </cols>
  <sheetData>
    <row r="1" spans="1:14" x14ac:dyDescent="0.3">
      <c r="A1" t="s">
        <v>48</v>
      </c>
      <c r="B1" t="s">
        <v>59</v>
      </c>
      <c r="C1" t="s">
        <v>70</v>
      </c>
      <c r="D1" t="s">
        <v>75</v>
      </c>
      <c r="E1" t="s">
        <v>84</v>
      </c>
      <c r="F1" t="s">
        <v>94</v>
      </c>
    </row>
    <row r="2" spans="1:14" x14ac:dyDescent="0.3">
      <c r="A2" t="s">
        <v>49</v>
      </c>
      <c r="B2" t="s">
        <v>60</v>
      </c>
      <c r="C2" t="s">
        <v>24</v>
      </c>
      <c r="D2" t="s">
        <v>76</v>
      </c>
      <c r="E2" t="s">
        <v>91</v>
      </c>
      <c r="F2">
        <v>55000</v>
      </c>
      <c r="H2" t="s">
        <v>48</v>
      </c>
      <c r="I2" t="s">
        <v>70</v>
      </c>
      <c r="J2" t="s">
        <v>84</v>
      </c>
      <c r="L2" t="s">
        <v>95</v>
      </c>
      <c r="M2" t="s">
        <v>94</v>
      </c>
      <c r="N2" t="s">
        <v>75</v>
      </c>
    </row>
    <row r="3" spans="1:14" x14ac:dyDescent="0.3">
      <c r="A3" t="s">
        <v>50</v>
      </c>
      <c r="B3" t="s">
        <v>61</v>
      </c>
      <c r="C3" t="s">
        <v>71</v>
      </c>
      <c r="D3" t="s">
        <v>77</v>
      </c>
      <c r="E3" t="s">
        <v>85</v>
      </c>
      <c r="F3">
        <v>42000</v>
      </c>
      <c r="H3" t="s">
        <v>49</v>
      </c>
      <c r="I3" t="str" cm="1">
        <f t="array" ref="I3">_xlfn.XLOOKUP(H3,Table1[[#All],[EMP ID]],Table1[[#All],[DEPARTMENT]],"NOT FOUND",0,1)</f>
        <v>HR</v>
      </c>
      <c r="J3" t="str" cm="1">
        <f t="array" ref="J3">_xlfn.XLOOKUP(H3,Table1[[#All],[EMP ID]],Table1[[#All],[CITY]],"NOT AVAILABLE",0,1)</f>
        <v>DELHI</v>
      </c>
      <c r="L3" s="7" t="s">
        <v>60</v>
      </c>
      <c r="M3" cm="1">
        <f t="array" ref="M3">_xlfn.XLOOKUP(L3,Table1[[#All],[EMPLOYEE NAME]],Table1[[#All],[SALARY]],"NOT FOUND",0,1)</f>
        <v>55000</v>
      </c>
      <c r="N3" t="str" cm="1">
        <f t="array" ref="N3">_xlfn.XLOOKUP(L3,Table1[[#All],[EMPLOYEE NAME]],Table1[[#All],[DESIGNATION]],"NOT FOUND",0,1)</f>
        <v>MANAGER</v>
      </c>
    </row>
    <row r="4" spans="1:14" x14ac:dyDescent="0.3">
      <c r="A4" t="s">
        <v>51</v>
      </c>
      <c r="B4" t="s">
        <v>62</v>
      </c>
      <c r="C4" t="s">
        <v>72</v>
      </c>
      <c r="D4" t="s">
        <v>78</v>
      </c>
      <c r="E4" t="s">
        <v>86</v>
      </c>
      <c r="F4">
        <v>60000</v>
      </c>
      <c r="H4" t="s">
        <v>50</v>
      </c>
      <c r="I4" t="str" cm="1">
        <f t="array" ref="I4">_xlfn.XLOOKUP(H4,Table1[[#All],[EMP ID]],Table1[[#All],[DEPARTMENT]],"NOT FOUND",0,1)</f>
        <v>SALES</v>
      </c>
      <c r="J4" t="str" cm="1">
        <f t="array" ref="J4">_xlfn.XLOOKUP(H4,Table1[[#All],[EMP ID]],Table1[[#All],[CITY]],"NOT FOUND",0,1)</f>
        <v>CHANDIGARH</v>
      </c>
      <c r="L4" s="8" t="s">
        <v>61</v>
      </c>
      <c r="M4" cm="1">
        <f t="array" ref="M4">_xlfn.XLOOKUP(L4,Table1[[#All],[EMPLOYEE NAME]],Table1[[#All],[SALARY]],"NOT FOUND",0,1)</f>
        <v>42000</v>
      </c>
      <c r="N4" t="str" cm="1">
        <f t="array" ref="N4">_xlfn.XLOOKUP(L4,Table1[[#All],[EMPLOYEE NAME]],Table1[[#All],[DESIGNATION]],"NOT FOUND",0,1)</f>
        <v>EXECUTIVE</v>
      </c>
    </row>
    <row r="5" spans="1:14" x14ac:dyDescent="0.3">
      <c r="A5" t="s">
        <v>52</v>
      </c>
      <c r="B5" t="s">
        <v>63</v>
      </c>
      <c r="C5" t="s">
        <v>73</v>
      </c>
      <c r="D5" t="s">
        <v>79</v>
      </c>
      <c r="E5" t="s">
        <v>87</v>
      </c>
      <c r="F5">
        <v>48000</v>
      </c>
      <c r="H5" t="s">
        <v>51</v>
      </c>
      <c r="I5" t="str" cm="1">
        <f t="array" ref="I5">_xlfn.XLOOKUP(H5,Table1[[#All],[EMP ID]],Table1[[#All],[DEPARTMENT]],"NOT FOUND",0,1)</f>
        <v>IT</v>
      </c>
      <c r="J5" t="str" cm="1">
        <f t="array" ref="J5">_xlfn.XLOOKUP(H5,Table1[[#All],[EMP ID]],Table1[[#All],[CITY]],"NOT FOUND",0,1)</f>
        <v>AMRITSAR</v>
      </c>
      <c r="L5" s="7" t="s">
        <v>62</v>
      </c>
      <c r="M5" cm="1">
        <f t="array" ref="M5">_xlfn.XLOOKUP(L5,Table1[[#All],[EMPLOYEE NAME]],Table1[[#All],[SALARY]],"NOT FOUND",0,1)</f>
        <v>60000</v>
      </c>
      <c r="N5" t="str" cm="1">
        <f t="array" ref="N5">_xlfn.XLOOKUP(L5,Table1[[#All],[EMPLOYEE NAME]],Table1[[#All],[DESIGNATION]],"NOT FOUND",0,1)</f>
        <v>DEVELOPER</v>
      </c>
    </row>
    <row r="6" spans="1:14" x14ac:dyDescent="0.3">
      <c r="A6" t="s">
        <v>53</v>
      </c>
      <c r="B6" t="s">
        <v>64</v>
      </c>
      <c r="C6" t="s">
        <v>74</v>
      </c>
      <c r="D6" t="s">
        <v>80</v>
      </c>
      <c r="E6" t="s">
        <v>88</v>
      </c>
      <c r="F6">
        <v>45000</v>
      </c>
      <c r="H6" t="s">
        <v>52</v>
      </c>
      <c r="I6" t="str" cm="1">
        <f t="array" ref="I6">_xlfn.XLOOKUP(H6,Table1[[#All],[EMP ID]],Table1[[#All],[DEPARTMENT]],"NOT FOUND",0,1)</f>
        <v>FINANCE</v>
      </c>
      <c r="J6" t="str" cm="1">
        <f t="array" ref="J6">_xlfn.XLOOKUP(H6,Table1[[#All],[EMP ID]],Table1[[#All],[CITY]],"NOT FOUND",0,1)</f>
        <v>LUDHIANA</v>
      </c>
      <c r="L6" s="8" t="s">
        <v>63</v>
      </c>
      <c r="M6" cm="1">
        <f t="array" ref="M6">_xlfn.XLOOKUP(L6,Table1[[#All],[EMPLOYEE NAME]],Table1[[#All],[SALARY]],"NOT FOUND",0,1)</f>
        <v>48000</v>
      </c>
      <c r="N6" t="str" cm="1">
        <f t="array" ref="N6">_xlfn.XLOOKUP(L6,Table1[[#All],[EMPLOYEE NAME]],Table1[[#All],[DESIGNATION]],"NOT FOUND",0,1)</f>
        <v>ACCOUNTANT</v>
      </c>
    </row>
    <row r="7" spans="1:14" x14ac:dyDescent="0.3">
      <c r="A7" t="s">
        <v>54</v>
      </c>
      <c r="B7" t="s">
        <v>65</v>
      </c>
      <c r="C7" t="s">
        <v>72</v>
      </c>
      <c r="D7" t="s">
        <v>81</v>
      </c>
      <c r="E7" t="s">
        <v>89</v>
      </c>
      <c r="F7">
        <v>52000</v>
      </c>
      <c r="H7" t="s">
        <v>53</v>
      </c>
      <c r="I7" t="str" cm="1">
        <f t="array" ref="I7">_xlfn.XLOOKUP(H7,Table1[[#All],[EMP ID]],Table1[[#All],[DEPARTMENT]],"NOT FOUND",0,1)</f>
        <v>MARKETING</v>
      </c>
      <c r="J7" t="str" cm="1">
        <f t="array" ref="J7">_xlfn.XLOOKUP(H7,Table1[[#All],[EMP ID]],Table1[[#All],[CITY]],"NOT FOUND",0,1)</f>
        <v>PATIALA</v>
      </c>
      <c r="L7" s="7" t="s">
        <v>64</v>
      </c>
      <c r="M7" cm="1">
        <f t="array" ref="M7">_xlfn.XLOOKUP(L7,Table1[[#All],[EMPLOYEE NAME]],Table1[[#All],[SALARY]],"NOT FOUND",0,1)</f>
        <v>45000</v>
      </c>
      <c r="N7" t="str" cm="1">
        <f t="array" ref="N7">_xlfn.XLOOKUP(L7,Table1[[#All],[EMPLOYEE NAME]],Table1[[#All],[DESIGNATION]],"NOT FOUND",0,1)</f>
        <v>OFFICER</v>
      </c>
    </row>
    <row r="8" spans="1:14" x14ac:dyDescent="0.3">
      <c r="A8" t="s">
        <v>55</v>
      </c>
      <c r="B8" t="s">
        <v>66</v>
      </c>
      <c r="C8" t="s">
        <v>24</v>
      </c>
      <c r="D8" t="s">
        <v>82</v>
      </c>
      <c r="E8" t="s">
        <v>90</v>
      </c>
      <c r="F8">
        <v>35000</v>
      </c>
      <c r="H8" t="s">
        <v>54</v>
      </c>
      <c r="I8" t="str" cm="1">
        <f t="array" ref="I8">_xlfn.XLOOKUP(H8,Table1[[#All],[EMP ID]],Table1[[#All],[DEPARTMENT]],"NOT FOUND",0,1)</f>
        <v>IT</v>
      </c>
      <c r="J8" t="str" cm="1">
        <f t="array" ref="J8">_xlfn.XLOOKUP(H8,Table1[[#All],[EMP ID]],Table1[[#All],[CITY]],"NOT FOUND",0,1)</f>
        <v>JALANDHAR</v>
      </c>
      <c r="L8" s="8" t="s">
        <v>65</v>
      </c>
      <c r="M8" cm="1">
        <f t="array" ref="M8">_xlfn.XLOOKUP(L8,Table1[[#All],[EMPLOYEE NAME]],Table1[[#All],[SALARY]],"NOT FOUND",0,1)</f>
        <v>52000</v>
      </c>
      <c r="N8" t="str" cm="1">
        <f t="array" ref="N8">_xlfn.XLOOKUP(L8,Table1[[#All],[EMPLOYEE NAME]],Table1[[#All],[DESIGNATION]],"NOT FOUND",0,1)</f>
        <v>ANALYST</v>
      </c>
    </row>
    <row r="9" spans="1:14" x14ac:dyDescent="0.3">
      <c r="A9" t="s">
        <v>56</v>
      </c>
      <c r="B9" t="s">
        <v>67</v>
      </c>
      <c r="C9" t="s">
        <v>71</v>
      </c>
      <c r="D9" t="s">
        <v>76</v>
      </c>
      <c r="E9" t="s">
        <v>91</v>
      </c>
      <c r="F9">
        <v>65000</v>
      </c>
      <c r="H9" t="s">
        <v>55</v>
      </c>
      <c r="I9" t="str" cm="1">
        <f t="array" ref="I9">_xlfn.XLOOKUP(H9,Table1[[#All],[EMP ID]],Table1[[#All],[DEPARTMENT]],"NOT FOUND",0,1)</f>
        <v>HR</v>
      </c>
      <c r="J9" t="str" cm="1">
        <f t="array" ref="J9">_xlfn.XLOOKUP(H9,Table1[[#All],[EMP ID]],Table1[[#All],[CITY]],"NOT FOUND",0,1)</f>
        <v>MOHALI</v>
      </c>
      <c r="L9" s="7" t="s">
        <v>66</v>
      </c>
      <c r="M9" cm="1">
        <f t="array" ref="M9">_xlfn.XLOOKUP(L9,Table1[[#All],[EMPLOYEE NAME]],Table1[[#All],[SALARY]],"NOT FOUND",0,1)</f>
        <v>35000</v>
      </c>
      <c r="N9" t="str" cm="1">
        <f t="array" ref="N9">_xlfn.XLOOKUP(L9,Table1[[#All],[EMPLOYEE NAME]],Table1[[#All],[DESIGNATION]],"NOT FOUND",0,1)</f>
        <v>ASSISTANT</v>
      </c>
    </row>
    <row r="10" spans="1:14" x14ac:dyDescent="0.3">
      <c r="A10" t="s">
        <v>57</v>
      </c>
      <c r="B10" t="s">
        <v>68</v>
      </c>
      <c r="C10" t="s">
        <v>73</v>
      </c>
      <c r="D10" t="s">
        <v>77</v>
      </c>
      <c r="E10" t="s">
        <v>92</v>
      </c>
      <c r="F10">
        <v>41000</v>
      </c>
      <c r="H10" t="s">
        <v>56</v>
      </c>
      <c r="I10" t="str" cm="1">
        <f t="array" ref="I10">_xlfn.XLOOKUP(H10,Table1[[#All],[EMP ID]],Table1[[#All],[DEPARTMENT]],"NOT FOUND",0,1)</f>
        <v>SALES</v>
      </c>
      <c r="J10" t="str" cm="1">
        <f t="array" ref="J10">_xlfn.XLOOKUP(H10,Table1[[#All],[EMP ID]],Table1[[#All],[CITY]],"NOT FOUND",0,1)</f>
        <v>DELHI</v>
      </c>
      <c r="L10" s="8" t="s">
        <v>67</v>
      </c>
      <c r="M10" cm="1">
        <f t="array" ref="M10">_xlfn.XLOOKUP(L10,Table1[[#All],[EMPLOYEE NAME]],Table1[[#All],[SALARY]],"NOT FOUND",0,1)</f>
        <v>65000</v>
      </c>
      <c r="N10" t="str" cm="1">
        <f t="array" ref="N10">_xlfn.XLOOKUP(L10,Table1[[#All],[EMPLOYEE NAME]],Table1[[#All],[DESIGNATION]],"NOT FOUND",0,1)</f>
        <v>MANAGER</v>
      </c>
    </row>
    <row r="11" spans="1:14" x14ac:dyDescent="0.3">
      <c r="A11" t="s">
        <v>58</v>
      </c>
      <c r="B11" t="s">
        <v>69</v>
      </c>
      <c r="C11" t="s">
        <v>74</v>
      </c>
      <c r="D11" t="s">
        <v>83</v>
      </c>
      <c r="E11" t="s">
        <v>93</v>
      </c>
      <c r="F11">
        <v>39000</v>
      </c>
      <c r="H11" t="s">
        <v>57</v>
      </c>
      <c r="I11" t="str" cm="1">
        <f t="array" ref="I11">_xlfn.XLOOKUP(H11,Table1[[#All],[EMP ID]],Table1[[#All],[DEPARTMENT]],"NOT FOUND",0,1)</f>
        <v>FINANCE</v>
      </c>
      <c r="J11" t="str" cm="1">
        <f t="array" ref="J11">_xlfn.XLOOKUP(H11,Table1[[#All],[EMP ID]],Table1[[#All],[CITY]],"NOT FOUND",0,1)</f>
        <v>AMBALA</v>
      </c>
      <c r="L11" s="7" t="s">
        <v>68</v>
      </c>
      <c r="M11" cm="1">
        <f t="array" ref="M11">_xlfn.XLOOKUP(L11,Table1[[#All],[EMPLOYEE NAME]],Table1[[#All],[SALARY]],"NOT FOUND",0,1)</f>
        <v>41000</v>
      </c>
      <c r="N11" t="str" cm="1">
        <f t="array" ref="N11">_xlfn.XLOOKUP(L11,Table1[[#All],[EMPLOYEE NAME]],Table1[[#All],[DESIGNATION]],"NOT FOUND",0,1)</f>
        <v>EXECUTIVE</v>
      </c>
    </row>
    <row r="12" spans="1:14" x14ac:dyDescent="0.3">
      <c r="A12" t="s">
        <v>98</v>
      </c>
      <c r="B12" t="s">
        <v>62</v>
      </c>
      <c r="C12" t="s">
        <v>71</v>
      </c>
      <c r="D12" t="s">
        <v>81</v>
      </c>
      <c r="E12" t="s">
        <v>85</v>
      </c>
      <c r="F12">
        <v>72000</v>
      </c>
      <c r="H12" t="s">
        <v>58</v>
      </c>
      <c r="I12" t="str" cm="1">
        <f t="array" ref="I12">_xlfn.XLOOKUP(H12,Table1[[#All],[EMP ID]],Table1[[#All],[DEPARTMENT]],"NOT FOUND",0,1)</f>
        <v>MARKETING</v>
      </c>
      <c r="J12" t="str" cm="1">
        <f t="array" ref="J12">_xlfn.XLOOKUP(H12,Table1[[#All],[EMP ID]],Table1[[#All],[CITY]],"NOT FOUND",0,1)</f>
        <v>BATHINDA</v>
      </c>
      <c r="L12" s="8" t="s">
        <v>69</v>
      </c>
      <c r="M12" cm="1">
        <f t="array" ref="M12">_xlfn.XLOOKUP(L12,Table1[[#All],[EMPLOYEE NAME]],Table1[[#All],[SALARY]],"NOT FOUND",0,1)</f>
        <v>39000</v>
      </c>
      <c r="N12" t="str" cm="1">
        <f t="array" ref="N12">_xlfn.XLOOKUP(L12,Table1[[#All],[EMPLOYEE NAME]],Table1[[#All],[DESIGNATION]],"NOT FOUND",0,1)</f>
        <v>COORDINATOR</v>
      </c>
    </row>
    <row r="13" spans="1:14" x14ac:dyDescent="0.3">
      <c r="H13" t="s">
        <v>96</v>
      </c>
      <c r="I13" t="str" cm="1">
        <f t="array" ref="I13">_xlfn.XLOOKUP(H13,Table1[[#All],[EMP ID]],Table1[[#All],[DEPARTMENT]],"NOT FOUND",0,1)</f>
        <v>NOT FOUND</v>
      </c>
      <c r="J13" t="str" cm="1">
        <f t="array" ref="J13">_xlfn.XLOOKUP(H13,Table1[[#All],[EMP ID]],Table1[[#All],[CITY]],"NOT FOUND",0,1)</f>
        <v>NOT FOUND</v>
      </c>
      <c r="L13" s="9" t="s">
        <v>97</v>
      </c>
      <c r="M13" t="str" cm="1">
        <f t="array" ref="M13">_xlfn.XLOOKUP(L13,Table1[[#All],[EMPLOYEE NAME]],Table1[[#All],[SALARY]],"NOT FOUND",0,1)</f>
        <v>NOT FOUND</v>
      </c>
      <c r="N13" t="str" cm="1">
        <f t="array" ref="N13">_xlfn.XLOOKUP(L13,Table1[[#All],[EMPLOYEE NAME]],Table1[[#All],[DESIGNATION]],"NOT FOUND",0,1)</f>
        <v>NOT FOUND</v>
      </c>
    </row>
    <row r="15" spans="1:14" x14ac:dyDescent="0.3">
      <c r="L15" s="9" t="s">
        <v>62</v>
      </c>
      <c r="M15" cm="1">
        <f t="array" ref="M15">_xlfn.XLOOKUP(L15,Table1[[#All],[EMPLOYEE NAME]],Table1[[#All],[SALARY]],"NOT FOUND",0,-1)</f>
        <v>72000</v>
      </c>
      <c r="N15" t="str" cm="1">
        <f t="array" ref="N15">_xlfn.XLOOKUP(L15,Table1[[#All],[EMPLOYEE NAME]],Table1[[#All],[DESIGNATION]],"NOT FOUND",0,-1)</f>
        <v>ANALYST</v>
      </c>
    </row>
    <row r="20" spans="1:11" x14ac:dyDescent="0.3">
      <c r="A20" t="s">
        <v>99</v>
      </c>
    </row>
    <row r="22" spans="1:11" x14ac:dyDescent="0.3">
      <c r="A22" t="s">
        <v>48</v>
      </c>
      <c r="B22" t="s">
        <v>95</v>
      </c>
      <c r="C22" t="s">
        <v>70</v>
      </c>
      <c r="D22" t="s">
        <v>102</v>
      </c>
      <c r="E22" t="s">
        <v>103</v>
      </c>
      <c r="F22" t="s">
        <v>104</v>
      </c>
      <c r="G22" t="s">
        <v>105</v>
      </c>
      <c r="H22" t="s">
        <v>84</v>
      </c>
      <c r="K22" t="s">
        <v>70</v>
      </c>
    </row>
    <row r="23" spans="1:11" x14ac:dyDescent="0.3">
      <c r="A23" t="s">
        <v>49</v>
      </c>
      <c r="B23" t="s">
        <v>60</v>
      </c>
      <c r="C23" t="s">
        <v>76</v>
      </c>
      <c r="D23">
        <v>45000</v>
      </c>
      <c r="E23">
        <v>5000</v>
      </c>
      <c r="F23">
        <v>3000</v>
      </c>
      <c r="G23">
        <v>8</v>
      </c>
      <c r="H23" t="s">
        <v>91</v>
      </c>
      <c r="J23" t="s">
        <v>53</v>
      </c>
      <c r="K23" t="str">
        <f>VLOOKUP(J23,A22:H30,3,FALSE)</f>
        <v>ANALYST</v>
      </c>
    </row>
    <row r="24" spans="1:11" x14ac:dyDescent="0.3">
      <c r="A24" t="s">
        <v>50</v>
      </c>
      <c r="B24" t="s">
        <v>61</v>
      </c>
      <c r="C24" t="s">
        <v>78</v>
      </c>
      <c r="D24">
        <v>52000</v>
      </c>
      <c r="E24">
        <v>6000</v>
      </c>
      <c r="F24">
        <v>4000</v>
      </c>
      <c r="G24">
        <v>5</v>
      </c>
      <c r="H24" t="s">
        <v>85</v>
      </c>
    </row>
    <row r="25" spans="1:11" x14ac:dyDescent="0.3">
      <c r="A25" t="s">
        <v>51</v>
      </c>
      <c r="B25" t="s">
        <v>100</v>
      </c>
      <c r="C25" t="s">
        <v>77</v>
      </c>
      <c r="D25">
        <v>38000</v>
      </c>
      <c r="E25">
        <v>4000</v>
      </c>
      <c r="F25">
        <v>2500</v>
      </c>
      <c r="G25">
        <v>3</v>
      </c>
      <c r="H25" t="s">
        <v>86</v>
      </c>
    </row>
    <row r="26" spans="1:11" x14ac:dyDescent="0.3">
      <c r="A26" t="s">
        <v>52</v>
      </c>
      <c r="B26" t="s">
        <v>63</v>
      </c>
      <c r="C26" t="s">
        <v>79</v>
      </c>
      <c r="D26">
        <v>47000</v>
      </c>
      <c r="E26">
        <v>5000</v>
      </c>
      <c r="F26">
        <v>3500</v>
      </c>
      <c r="G26">
        <v>6</v>
      </c>
      <c r="H26" t="s">
        <v>87</v>
      </c>
      <c r="K26" t="s">
        <v>75</v>
      </c>
    </row>
    <row r="27" spans="1:11" x14ac:dyDescent="0.3">
      <c r="A27" t="s">
        <v>53</v>
      </c>
      <c r="B27" t="s">
        <v>101</v>
      </c>
      <c r="C27" t="s">
        <v>81</v>
      </c>
      <c r="D27">
        <v>50000</v>
      </c>
      <c r="E27">
        <v>5500</v>
      </c>
      <c r="F27">
        <v>3000</v>
      </c>
      <c r="G27">
        <v>4</v>
      </c>
      <c r="H27" t="s">
        <v>89</v>
      </c>
      <c r="J27" t="s">
        <v>50</v>
      </c>
    </row>
    <row r="28" spans="1:11" x14ac:dyDescent="0.3">
      <c r="A28" t="s">
        <v>54</v>
      </c>
      <c r="B28" t="s">
        <v>65</v>
      </c>
      <c r="C28" t="s">
        <v>82</v>
      </c>
      <c r="D28">
        <v>32000</v>
      </c>
      <c r="E28">
        <v>3000</v>
      </c>
      <c r="F28">
        <v>2000</v>
      </c>
      <c r="G28">
        <v>2</v>
      </c>
      <c r="H28" t="s">
        <v>88</v>
      </c>
    </row>
    <row r="29" spans="1:11" x14ac:dyDescent="0.3">
      <c r="A29" t="s">
        <v>55</v>
      </c>
      <c r="B29" t="s">
        <v>66</v>
      </c>
      <c r="C29" t="s">
        <v>76</v>
      </c>
      <c r="D29">
        <v>60000</v>
      </c>
      <c r="E29">
        <v>7000</v>
      </c>
      <c r="F29">
        <v>5000</v>
      </c>
      <c r="G29">
        <v>10</v>
      </c>
      <c r="H29" t="s">
        <v>91</v>
      </c>
    </row>
    <row r="30" spans="1:11" x14ac:dyDescent="0.3">
      <c r="A30" t="s">
        <v>56</v>
      </c>
      <c r="B30" t="s">
        <v>67</v>
      </c>
      <c r="C30" t="s">
        <v>77</v>
      </c>
      <c r="D30">
        <v>41000</v>
      </c>
      <c r="E30">
        <v>4500</v>
      </c>
      <c r="F30">
        <v>2800</v>
      </c>
      <c r="G30">
        <v>5</v>
      </c>
      <c r="H30" t="s">
        <v>85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5FAD-4317-4890-9410-A917388C23CA}">
  <dimension ref="A1:N46"/>
  <sheetViews>
    <sheetView tabSelected="1" workbookViewId="0"/>
  </sheetViews>
  <sheetFormatPr defaultRowHeight="14.4" x14ac:dyDescent="0.3"/>
  <cols>
    <col min="1" max="1" width="20.88671875" bestFit="1" customWidth="1"/>
    <col min="2" max="2" width="15.77734375" bestFit="1" customWidth="1"/>
    <col min="3" max="3" width="12.44140625" bestFit="1" customWidth="1"/>
    <col min="4" max="5" width="12.77734375" bestFit="1" customWidth="1"/>
    <col min="9" max="9" width="12.21875" bestFit="1" customWidth="1"/>
    <col min="11" max="11" width="14.109375" bestFit="1" customWidth="1"/>
    <col min="12" max="12" width="12.5546875" bestFit="1" customWidth="1"/>
    <col min="13" max="13" width="20.21875" bestFit="1" customWidth="1"/>
    <col min="14" max="14" width="12.88671875" bestFit="1" customWidth="1"/>
  </cols>
  <sheetData>
    <row r="1" spans="1:12" ht="15" thickBot="1" x14ac:dyDescent="0.35">
      <c r="A1" s="29" t="s">
        <v>99</v>
      </c>
      <c r="B1" s="28"/>
      <c r="C1" s="33" t="s">
        <v>144</v>
      </c>
      <c r="D1" s="33"/>
      <c r="E1" s="33"/>
    </row>
    <row r="2" spans="1:12" ht="15" thickBot="1" x14ac:dyDescent="0.35">
      <c r="A2" s="19" t="s">
        <v>140</v>
      </c>
      <c r="K2" s="17" t="s">
        <v>110</v>
      </c>
    </row>
    <row r="3" spans="1:12" ht="15" thickBot="1" x14ac:dyDescent="0.35">
      <c r="A3" s="15" t="s">
        <v>48</v>
      </c>
      <c r="B3" s="15" t="s">
        <v>95</v>
      </c>
      <c r="C3" s="15" t="s">
        <v>70</v>
      </c>
      <c r="D3" s="15" t="s">
        <v>75</v>
      </c>
      <c r="E3" s="15" t="s">
        <v>102</v>
      </c>
      <c r="F3" s="15" t="s">
        <v>103</v>
      </c>
      <c r="G3" s="15" t="s">
        <v>104</v>
      </c>
      <c r="H3" s="15" t="s">
        <v>105</v>
      </c>
      <c r="I3" s="15" t="s">
        <v>84</v>
      </c>
      <c r="K3" s="14" t="s">
        <v>139</v>
      </c>
      <c r="L3" s="10" t="s">
        <v>70</v>
      </c>
    </row>
    <row r="4" spans="1:12" ht="15" thickBot="1" x14ac:dyDescent="0.35">
      <c r="A4" s="16" t="s">
        <v>49</v>
      </c>
      <c r="B4" s="16" t="s">
        <v>60</v>
      </c>
      <c r="C4" s="16" t="s">
        <v>24</v>
      </c>
      <c r="D4" s="16" t="s">
        <v>76</v>
      </c>
      <c r="E4" s="16">
        <v>45000</v>
      </c>
      <c r="F4" s="16">
        <v>5000</v>
      </c>
      <c r="G4" s="16">
        <v>3000</v>
      </c>
      <c r="H4" s="16">
        <v>8</v>
      </c>
      <c r="I4" s="16" t="s">
        <v>91</v>
      </c>
      <c r="K4" s="11" t="s">
        <v>53</v>
      </c>
      <c r="L4" s="11" t="str">
        <f>VLOOKUP(K4,A3:I11,3,FALSE)</f>
        <v>IT</v>
      </c>
    </row>
    <row r="5" spans="1:12" ht="15" thickBot="1" x14ac:dyDescent="0.35">
      <c r="A5" s="16" t="s">
        <v>50</v>
      </c>
      <c r="B5" s="16" t="s">
        <v>61</v>
      </c>
      <c r="C5" s="16" t="s">
        <v>72</v>
      </c>
      <c r="D5" s="16" t="s">
        <v>78</v>
      </c>
      <c r="E5" s="16">
        <v>52000</v>
      </c>
      <c r="F5" s="16">
        <v>6000</v>
      </c>
      <c r="G5" s="16">
        <v>4000</v>
      </c>
      <c r="H5" s="16">
        <v>5</v>
      </c>
      <c r="I5" s="16" t="s">
        <v>85</v>
      </c>
    </row>
    <row r="6" spans="1:12" ht="15" thickBot="1" x14ac:dyDescent="0.35">
      <c r="A6" s="16" t="s">
        <v>51</v>
      </c>
      <c r="B6" s="16" t="s">
        <v>100</v>
      </c>
      <c r="C6" s="16" t="s">
        <v>71</v>
      </c>
      <c r="D6" s="16" t="s">
        <v>77</v>
      </c>
      <c r="E6" s="16">
        <v>38000</v>
      </c>
      <c r="F6" s="16">
        <v>4000</v>
      </c>
      <c r="G6" s="16">
        <v>2500</v>
      </c>
      <c r="H6" s="16">
        <v>3</v>
      </c>
      <c r="I6" s="16" t="s">
        <v>86</v>
      </c>
      <c r="K6" s="17" t="s">
        <v>111</v>
      </c>
    </row>
    <row r="7" spans="1:12" ht="15" thickBot="1" x14ac:dyDescent="0.35">
      <c r="A7" s="16" t="s">
        <v>52</v>
      </c>
      <c r="B7" s="16" t="s">
        <v>63</v>
      </c>
      <c r="C7" s="16" t="s">
        <v>73</v>
      </c>
      <c r="D7" s="16" t="s">
        <v>79</v>
      </c>
      <c r="E7" s="16">
        <v>47000</v>
      </c>
      <c r="F7" s="16">
        <v>5000</v>
      </c>
      <c r="G7" s="16">
        <v>3500</v>
      </c>
      <c r="H7" s="16">
        <v>6</v>
      </c>
      <c r="I7" s="16" t="s">
        <v>87</v>
      </c>
      <c r="K7" s="14" t="s">
        <v>139</v>
      </c>
      <c r="L7" s="10" t="s">
        <v>75</v>
      </c>
    </row>
    <row r="8" spans="1:12" ht="15" thickBot="1" x14ac:dyDescent="0.35">
      <c r="A8" s="16" t="s">
        <v>53</v>
      </c>
      <c r="B8" s="16" t="s">
        <v>101</v>
      </c>
      <c r="C8" s="16" t="s">
        <v>72</v>
      </c>
      <c r="D8" s="16" t="s">
        <v>81</v>
      </c>
      <c r="E8" s="16">
        <v>50000</v>
      </c>
      <c r="F8" s="16">
        <v>5500</v>
      </c>
      <c r="G8" s="16">
        <v>3000</v>
      </c>
      <c r="H8" s="16">
        <v>4</v>
      </c>
      <c r="I8" s="16" t="s">
        <v>89</v>
      </c>
      <c r="K8" s="11" t="s">
        <v>50</v>
      </c>
      <c r="L8" s="11" t="str">
        <f>VLOOKUP(K8,A3:I11,4,FALSE)</f>
        <v>DEVELOPER</v>
      </c>
    </row>
    <row r="9" spans="1:12" ht="15" thickBot="1" x14ac:dyDescent="0.35">
      <c r="A9" s="16" t="s">
        <v>54</v>
      </c>
      <c r="B9" s="16" t="s">
        <v>65</v>
      </c>
      <c r="C9" s="16" t="s">
        <v>24</v>
      </c>
      <c r="D9" s="16" t="s">
        <v>82</v>
      </c>
      <c r="E9" s="16">
        <v>32000</v>
      </c>
      <c r="F9" s="16">
        <v>3000</v>
      </c>
      <c r="G9" s="16">
        <v>2000</v>
      </c>
      <c r="H9" s="16">
        <v>2</v>
      </c>
      <c r="I9" s="16" t="s">
        <v>88</v>
      </c>
    </row>
    <row r="10" spans="1:12" ht="15" thickBot="1" x14ac:dyDescent="0.35">
      <c r="A10" s="16" t="s">
        <v>55</v>
      </c>
      <c r="B10" s="16" t="s">
        <v>66</v>
      </c>
      <c r="C10" s="16" t="s">
        <v>71</v>
      </c>
      <c r="D10" s="16" t="s">
        <v>76</v>
      </c>
      <c r="E10" s="16">
        <v>60000</v>
      </c>
      <c r="F10" s="16">
        <v>7000</v>
      </c>
      <c r="G10" s="16">
        <v>5000</v>
      </c>
      <c r="H10" s="16">
        <v>10</v>
      </c>
      <c r="I10" s="16" t="s">
        <v>91</v>
      </c>
      <c r="K10" s="17" t="s">
        <v>112</v>
      </c>
    </row>
    <row r="11" spans="1:12" ht="15" thickBot="1" x14ac:dyDescent="0.35">
      <c r="A11" s="16" t="s">
        <v>56</v>
      </c>
      <c r="B11" s="16" t="s">
        <v>67</v>
      </c>
      <c r="C11" s="16" t="s">
        <v>73</v>
      </c>
      <c r="D11" s="16" t="s">
        <v>77</v>
      </c>
      <c r="E11" s="16">
        <v>41000</v>
      </c>
      <c r="F11" s="16">
        <v>4500</v>
      </c>
      <c r="G11" s="16">
        <v>2800</v>
      </c>
      <c r="H11" s="16">
        <v>5</v>
      </c>
      <c r="I11" s="16" t="s">
        <v>85</v>
      </c>
      <c r="K11" s="14" t="s">
        <v>139</v>
      </c>
      <c r="L11" s="10" t="s">
        <v>106</v>
      </c>
    </row>
    <row r="12" spans="1:12" x14ac:dyDescent="0.3">
      <c r="K12" s="11" t="s">
        <v>49</v>
      </c>
      <c r="L12" s="11">
        <f>VLOOKUP(K12,$A$3:$I$11,5,FALSE)</f>
        <v>45000</v>
      </c>
    </row>
    <row r="13" spans="1:12" x14ac:dyDescent="0.3">
      <c r="K13" s="11" t="s">
        <v>50</v>
      </c>
      <c r="L13" s="11">
        <f t="shared" ref="L13:L19" si="0">VLOOKUP(K13,$A$3:$I$11,5,FALSE)</f>
        <v>52000</v>
      </c>
    </row>
    <row r="14" spans="1:12" x14ac:dyDescent="0.3">
      <c r="A14" s="18" t="s">
        <v>109</v>
      </c>
      <c r="K14" s="11" t="s">
        <v>51</v>
      </c>
      <c r="L14" s="11">
        <f t="shared" si="0"/>
        <v>38000</v>
      </c>
    </row>
    <row r="15" spans="1:12" x14ac:dyDescent="0.3">
      <c r="A15" s="10" t="str" cm="1">
        <f t="array" ref="A15:B23">CHOOSE({1,2},B3:B11,A3:A11)</f>
        <v>EMP NAME</v>
      </c>
      <c r="B15" s="10" t="str">
        <v>EMP ID</v>
      </c>
      <c r="K15" s="11" t="s">
        <v>52</v>
      </c>
      <c r="L15" s="11">
        <f t="shared" si="0"/>
        <v>47000</v>
      </c>
    </row>
    <row r="16" spans="1:12" x14ac:dyDescent="0.3">
      <c r="A16" s="11" t="str">
        <v>AMAN</v>
      </c>
      <c r="B16" s="11" t="str">
        <v>E101</v>
      </c>
      <c r="K16" s="11" t="s">
        <v>53</v>
      </c>
      <c r="L16" s="11">
        <f t="shared" si="0"/>
        <v>50000</v>
      </c>
    </row>
    <row r="17" spans="1:14" x14ac:dyDescent="0.3">
      <c r="A17" s="11" t="str">
        <v>SIMRAN</v>
      </c>
      <c r="B17" s="11" t="str">
        <v>E102</v>
      </c>
      <c r="K17" s="11" t="s">
        <v>54</v>
      </c>
      <c r="L17" s="11">
        <f t="shared" si="0"/>
        <v>32000</v>
      </c>
    </row>
    <row r="18" spans="1:14" x14ac:dyDescent="0.3">
      <c r="A18" s="11" t="str">
        <v xml:space="preserve">RAHUL </v>
      </c>
      <c r="B18" s="11" t="str">
        <v>E103</v>
      </c>
      <c r="K18" s="11" t="s">
        <v>55</v>
      </c>
      <c r="L18" s="11">
        <f t="shared" si="0"/>
        <v>60000</v>
      </c>
    </row>
    <row r="19" spans="1:14" x14ac:dyDescent="0.3">
      <c r="A19" s="11" t="str">
        <v>PRIYA</v>
      </c>
      <c r="B19" s="11" t="str">
        <v>E104</v>
      </c>
      <c r="K19" s="11" t="s">
        <v>56</v>
      </c>
      <c r="L19" s="11">
        <f t="shared" si="0"/>
        <v>41000</v>
      </c>
    </row>
    <row r="20" spans="1:14" x14ac:dyDescent="0.3">
      <c r="A20" s="11" t="str">
        <v>KABIR</v>
      </c>
      <c r="B20" s="11" t="str">
        <v>E105</v>
      </c>
    </row>
    <row r="21" spans="1:14" x14ac:dyDescent="0.3">
      <c r="A21" s="11" t="str">
        <v>NEHA</v>
      </c>
      <c r="B21" s="11" t="str">
        <v>E106</v>
      </c>
      <c r="L21" s="17" t="s">
        <v>113</v>
      </c>
      <c r="M21" s="17" t="s">
        <v>138</v>
      </c>
      <c r="N21" s="17" t="s">
        <v>115</v>
      </c>
    </row>
    <row r="22" spans="1:14" x14ac:dyDescent="0.3">
      <c r="A22" s="11" t="str">
        <v>ARJUN</v>
      </c>
      <c r="B22" s="11" t="str">
        <v>E107</v>
      </c>
      <c r="K22" s="14" t="s">
        <v>139</v>
      </c>
      <c r="L22" s="10" t="s">
        <v>107</v>
      </c>
      <c r="M22" s="10" t="s">
        <v>104</v>
      </c>
      <c r="N22" s="10" t="s">
        <v>108</v>
      </c>
    </row>
    <row r="23" spans="1:14" x14ac:dyDescent="0.3">
      <c r="A23" s="11" t="str">
        <v>MEENA</v>
      </c>
      <c r="B23" s="11" t="str">
        <v>E108</v>
      </c>
      <c r="K23" s="11" t="s">
        <v>49</v>
      </c>
      <c r="L23" s="11" t="str" cm="1">
        <f t="array" ref="L23">VLOOKUP(K23,$A$3:$I$11,{2},FALSE)</f>
        <v>AMAN</v>
      </c>
      <c r="M23" s="11">
        <f>VLOOKUP(K23,$A$3:$I$11,MATCH(M22,A3:I3,0),FALSE)</f>
        <v>3000</v>
      </c>
      <c r="N23" s="11" cm="1">
        <f t="array" ref="N23">SUM(VLOOKUP(K23,$A$3:$I$11,{5,6,7},FALSE))</f>
        <v>53000</v>
      </c>
    </row>
    <row r="24" spans="1:14" x14ac:dyDescent="0.3">
      <c r="K24" s="11" t="s">
        <v>50</v>
      </c>
      <c r="L24" s="11" t="str" cm="1">
        <f t="array" ref="L24">VLOOKUP(K24,$A$3:$I$11,{2},FALSE)</f>
        <v>SIMRAN</v>
      </c>
      <c r="M24" s="11">
        <f t="shared" ref="M24:M30" si="1">VLOOKUP(K24,$A$3:$I$11,MATCH(M23,A4:I4,0),FALSE)</f>
        <v>4000</v>
      </c>
      <c r="N24" s="11" cm="1">
        <f t="array" ref="N24">SUM(VLOOKUP(K24,$A$3:$I$11,{5,6,7},FALSE))</f>
        <v>62000</v>
      </c>
    </row>
    <row r="25" spans="1:14" x14ac:dyDescent="0.3">
      <c r="K25" s="11" t="s">
        <v>51</v>
      </c>
      <c r="L25" s="11" t="str" cm="1">
        <f t="array" ref="L25">VLOOKUP(K25,$A$3:$I$11,{2},FALSE)</f>
        <v xml:space="preserve">RAHUL </v>
      </c>
      <c r="M25" s="11">
        <f t="shared" si="1"/>
        <v>2500</v>
      </c>
      <c r="N25" s="11" cm="1">
        <f t="array" ref="N25">SUM(VLOOKUP(K25,$A$3:$I$11,{5,6,7},FALSE))</f>
        <v>44500</v>
      </c>
    </row>
    <row r="26" spans="1:14" x14ac:dyDescent="0.3">
      <c r="A26" s="17" t="s">
        <v>116</v>
      </c>
      <c r="K26" s="11" t="s">
        <v>52</v>
      </c>
      <c r="L26" s="11" t="str" cm="1">
        <f t="array" ref="L26">VLOOKUP(K26,$A$3:$I$11,{2},FALSE)</f>
        <v>PRIYA</v>
      </c>
      <c r="M26" s="11">
        <f t="shared" si="1"/>
        <v>3500</v>
      </c>
      <c r="N26" s="11" cm="1">
        <f t="array" ref="N26">SUM(VLOOKUP(K26,$A$3:$I$11,{5,6,7},FALSE))</f>
        <v>55500</v>
      </c>
    </row>
    <row r="27" spans="1:14" x14ac:dyDescent="0.3">
      <c r="A27" s="14" t="s">
        <v>139</v>
      </c>
      <c r="B27" s="10" t="s">
        <v>105</v>
      </c>
      <c r="K27" s="11" t="s">
        <v>53</v>
      </c>
      <c r="L27" s="11" t="str" cm="1">
        <f t="array" ref="L27">VLOOKUP(K27,$A$3:$I$11,{2},FALSE)</f>
        <v>KABIR</v>
      </c>
      <c r="M27" s="11">
        <f t="shared" si="1"/>
        <v>3000</v>
      </c>
      <c r="N27" s="11" cm="1">
        <f t="array" ref="N27">SUM(VLOOKUP(K27,$A$3:$I$11,{5,6,7},FALSE))</f>
        <v>58500</v>
      </c>
    </row>
    <row r="28" spans="1:14" x14ac:dyDescent="0.3">
      <c r="A28" s="11" t="s">
        <v>55</v>
      </c>
      <c r="B28" s="11">
        <f>VLOOKUP(A28,A3:I11,8,FALSE)</f>
        <v>10</v>
      </c>
      <c r="K28" s="11" t="s">
        <v>54</v>
      </c>
      <c r="L28" s="11" t="str" cm="1">
        <f t="array" ref="L28">VLOOKUP(K28,$A$3:$I$11,{2},FALSE)</f>
        <v>NEHA</v>
      </c>
      <c r="M28" s="11">
        <f t="shared" si="1"/>
        <v>2000</v>
      </c>
      <c r="N28" s="11" cm="1">
        <f t="array" ref="N28">SUM(VLOOKUP(K28,$A$3:$I$11,{5,6,7},FALSE))</f>
        <v>37000</v>
      </c>
    </row>
    <row r="29" spans="1:14" x14ac:dyDescent="0.3">
      <c r="K29" s="11" t="s">
        <v>55</v>
      </c>
      <c r="L29" s="11" t="str" cm="1">
        <f t="array" ref="L29">VLOOKUP(K29,$A$3:$I$11,{2},FALSE)</f>
        <v>ARJUN</v>
      </c>
      <c r="M29" s="11">
        <f t="shared" si="1"/>
        <v>5000</v>
      </c>
      <c r="N29" s="11" cm="1">
        <f t="array" ref="N29">SUM(VLOOKUP(K29,$A$3:$I$11,{5,6,7},FALSE))</f>
        <v>72000</v>
      </c>
    </row>
    <row r="30" spans="1:14" x14ac:dyDescent="0.3">
      <c r="K30" s="11" t="s">
        <v>56</v>
      </c>
      <c r="L30" s="11" t="str" cm="1">
        <f t="array" ref="L30">VLOOKUP(K30,$A$3:$I$11,{2},FALSE)</f>
        <v>MEENA</v>
      </c>
      <c r="M30" s="11">
        <f t="shared" si="1"/>
        <v>2800</v>
      </c>
      <c r="N30" s="11" cm="1">
        <f t="array" ref="N30">SUM(VLOOKUP(K30,$A$3:$I$11,{5,6,7},FALSE))</f>
        <v>48300</v>
      </c>
    </row>
    <row r="31" spans="1:14" x14ac:dyDescent="0.3">
      <c r="A31" s="17" t="s">
        <v>117</v>
      </c>
    </row>
    <row r="32" spans="1:14" x14ac:dyDescent="0.3">
      <c r="A32" s="14" t="s">
        <v>139</v>
      </c>
      <c r="B32" s="10" t="s">
        <v>84</v>
      </c>
    </row>
    <row r="33" spans="1:2" x14ac:dyDescent="0.3">
      <c r="A33" s="11" t="s">
        <v>52</v>
      </c>
      <c r="B33" s="11" t="str">
        <f>VLOOKUP(A33,A3:I11,9,FALSE)</f>
        <v>LUDHIANA</v>
      </c>
    </row>
    <row r="36" spans="1:2" x14ac:dyDescent="0.3">
      <c r="A36" s="17" t="s">
        <v>118</v>
      </c>
    </row>
    <row r="37" spans="1:2" x14ac:dyDescent="0.3">
      <c r="A37" s="14" t="s">
        <v>139</v>
      </c>
      <c r="B37" s="10" t="s">
        <v>107</v>
      </c>
    </row>
    <row r="38" spans="1:2" x14ac:dyDescent="0.3">
      <c r="A38" s="11" t="s">
        <v>49</v>
      </c>
      <c r="B38" s="11" t="str">
        <f>IFERROR((VLOOKUP(A38,$A$3:$I$11,2,FALSE)),"NOT FOUND")</f>
        <v>AMAN</v>
      </c>
    </row>
    <row r="39" spans="1:2" x14ac:dyDescent="0.3">
      <c r="A39" s="11" t="s">
        <v>50</v>
      </c>
      <c r="B39" s="11" t="str">
        <f t="shared" ref="B39:B46" si="2">IFERROR((VLOOKUP(A39,$A$3:$I$11,2,FALSE)),"NOT FOUND")</f>
        <v>SIMRAN</v>
      </c>
    </row>
    <row r="40" spans="1:2" x14ac:dyDescent="0.3">
      <c r="A40" s="11" t="s">
        <v>51</v>
      </c>
      <c r="B40" s="11" t="str">
        <f t="shared" si="2"/>
        <v xml:space="preserve">RAHUL </v>
      </c>
    </row>
    <row r="41" spans="1:2" x14ac:dyDescent="0.3">
      <c r="A41" s="11" t="s">
        <v>52</v>
      </c>
      <c r="B41" s="11" t="str">
        <f t="shared" si="2"/>
        <v>PRIYA</v>
      </c>
    </row>
    <row r="42" spans="1:2" x14ac:dyDescent="0.3">
      <c r="A42" s="11" t="s">
        <v>53</v>
      </c>
      <c r="B42" s="11" t="str">
        <f t="shared" si="2"/>
        <v>KABIR</v>
      </c>
    </row>
    <row r="43" spans="1:2" x14ac:dyDescent="0.3">
      <c r="A43" s="11" t="s">
        <v>54</v>
      </c>
      <c r="B43" s="11" t="str">
        <f t="shared" si="2"/>
        <v>NEHA</v>
      </c>
    </row>
    <row r="44" spans="1:2" x14ac:dyDescent="0.3">
      <c r="A44" s="11" t="s">
        <v>55</v>
      </c>
      <c r="B44" s="11" t="str">
        <f t="shared" si="2"/>
        <v>ARJUN</v>
      </c>
    </row>
    <row r="45" spans="1:2" x14ac:dyDescent="0.3">
      <c r="A45" s="11" t="s">
        <v>56</v>
      </c>
      <c r="B45" s="11" t="str">
        <f t="shared" si="2"/>
        <v>MEENA</v>
      </c>
    </row>
    <row r="46" spans="1:2" x14ac:dyDescent="0.3">
      <c r="A46" s="11" t="s">
        <v>57</v>
      </c>
      <c r="B46" s="11" t="str">
        <f t="shared" si="2"/>
        <v>NOT FOUND</v>
      </c>
    </row>
  </sheetData>
  <mergeCells count="1">
    <mergeCell ref="C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BF877-C56D-4BA8-966F-0CC2CC0946C9}">
  <dimension ref="A1:J25"/>
  <sheetViews>
    <sheetView workbookViewId="0">
      <selection activeCell="L20" sqref="L20"/>
    </sheetView>
  </sheetViews>
  <sheetFormatPr defaultRowHeight="14.4" x14ac:dyDescent="0.3"/>
  <cols>
    <col min="1" max="1" width="16.77734375" style="20" bestFit="1" customWidth="1"/>
    <col min="2" max="2" width="8.88671875" style="20"/>
    <col min="3" max="3" width="11.5546875" style="20" customWidth="1"/>
    <col min="4" max="8" width="8.88671875" style="20"/>
    <col min="9" max="9" width="14.109375" style="20" bestFit="1" customWidth="1"/>
    <col min="10" max="10" width="14.77734375" style="20" bestFit="1" customWidth="1"/>
    <col min="11" max="16384" width="8.88671875" style="20"/>
  </cols>
  <sheetData>
    <row r="1" spans="1:10" ht="15" thickBot="1" x14ac:dyDescent="0.35">
      <c r="C1" s="34" t="s">
        <v>119</v>
      </c>
      <c r="D1" s="34"/>
      <c r="E1" s="34"/>
    </row>
    <row r="2" spans="1:10" ht="15" thickBot="1" x14ac:dyDescent="0.35">
      <c r="A2" s="25" t="s">
        <v>141</v>
      </c>
    </row>
    <row r="3" spans="1:10" s="22" customFormat="1" ht="15" thickBot="1" x14ac:dyDescent="0.35">
      <c r="A3" s="15" t="s">
        <v>120</v>
      </c>
      <c r="B3" s="15" t="s">
        <v>121</v>
      </c>
      <c r="C3" s="15" t="s">
        <v>122</v>
      </c>
      <c r="D3" s="15" t="s">
        <v>123</v>
      </c>
      <c r="E3" s="15" t="s">
        <v>124</v>
      </c>
      <c r="F3" s="15" t="s">
        <v>125</v>
      </c>
      <c r="I3" s="23" t="s">
        <v>110</v>
      </c>
    </row>
    <row r="4" spans="1:10" ht="15" thickBot="1" x14ac:dyDescent="0.35">
      <c r="A4" s="16" t="s">
        <v>126</v>
      </c>
      <c r="B4" s="16" t="s">
        <v>129</v>
      </c>
      <c r="C4" s="16" t="s">
        <v>130</v>
      </c>
      <c r="D4" s="16" t="s">
        <v>131</v>
      </c>
      <c r="E4" s="16" t="s">
        <v>132</v>
      </c>
      <c r="F4" s="16" t="s">
        <v>133</v>
      </c>
      <c r="I4" s="24" t="s">
        <v>139</v>
      </c>
      <c r="J4" s="12" t="s">
        <v>134</v>
      </c>
    </row>
    <row r="5" spans="1:10" ht="15" thickBot="1" x14ac:dyDescent="0.35">
      <c r="A5" s="16" t="s">
        <v>127</v>
      </c>
      <c r="B5" s="16">
        <v>800</v>
      </c>
      <c r="C5" s="16">
        <v>500</v>
      </c>
      <c r="D5" s="16">
        <v>6500</v>
      </c>
      <c r="E5" s="16">
        <v>4500</v>
      </c>
      <c r="F5" s="16">
        <v>9000</v>
      </c>
      <c r="I5" s="13" t="s">
        <v>123</v>
      </c>
      <c r="J5" s="13" t="str">
        <f>HLOOKUP(I5,A3:F6,2,FALSE)</f>
        <v>PRINTER</v>
      </c>
    </row>
    <row r="6" spans="1:10" ht="15" thickBot="1" x14ac:dyDescent="0.35">
      <c r="A6" s="16" t="s">
        <v>128</v>
      </c>
      <c r="B6" s="16">
        <v>25</v>
      </c>
      <c r="C6" s="16">
        <v>40</v>
      </c>
      <c r="D6" s="16">
        <v>10</v>
      </c>
      <c r="E6" s="16">
        <v>8</v>
      </c>
      <c r="F6" s="16">
        <v>15</v>
      </c>
    </row>
    <row r="8" spans="1:10" x14ac:dyDescent="0.3">
      <c r="I8" s="23" t="s">
        <v>111</v>
      </c>
    </row>
    <row r="9" spans="1:10" x14ac:dyDescent="0.3">
      <c r="I9" s="24" t="s">
        <v>139</v>
      </c>
      <c r="J9" s="12" t="s">
        <v>127</v>
      </c>
    </row>
    <row r="10" spans="1:10" x14ac:dyDescent="0.3">
      <c r="I10" s="13" t="s">
        <v>124</v>
      </c>
      <c r="J10" s="13">
        <f>HLOOKUP(I10,A3:F6,3,FALSE)</f>
        <v>4500</v>
      </c>
    </row>
    <row r="13" spans="1:10" x14ac:dyDescent="0.3">
      <c r="I13" s="23" t="s">
        <v>112</v>
      </c>
    </row>
    <row r="14" spans="1:10" x14ac:dyDescent="0.3">
      <c r="I14" s="24" t="s">
        <v>139</v>
      </c>
      <c r="J14" s="12" t="s">
        <v>128</v>
      </c>
    </row>
    <row r="15" spans="1:10" x14ac:dyDescent="0.3">
      <c r="I15" s="13" t="s">
        <v>121</v>
      </c>
      <c r="J15" s="13">
        <f>HLOOKUP(I15,A3:F6,4,FALSE)</f>
        <v>25</v>
      </c>
    </row>
    <row r="17" spans="9:10" x14ac:dyDescent="0.3">
      <c r="I17" s="23" t="s">
        <v>113</v>
      </c>
      <c r="J17" s="13" t="s">
        <v>142</v>
      </c>
    </row>
    <row r="18" spans="9:10" x14ac:dyDescent="0.3">
      <c r="I18" s="24" t="s">
        <v>139</v>
      </c>
      <c r="J18" s="26" t="s">
        <v>126</v>
      </c>
    </row>
    <row r="19" spans="9:10" x14ac:dyDescent="0.3">
      <c r="I19" s="13" t="s">
        <v>121</v>
      </c>
      <c r="J19" s="13" t="str">
        <f>HLOOKUP(I19,A3:F6,MATCH(J18,A3:A6,0),FALSE)</f>
        <v>KEYBOARD</v>
      </c>
    </row>
    <row r="21" spans="9:10" x14ac:dyDescent="0.3">
      <c r="I21" s="23" t="s">
        <v>114</v>
      </c>
    </row>
    <row r="22" spans="9:10" x14ac:dyDescent="0.3">
      <c r="I22" s="24" t="s">
        <v>139</v>
      </c>
      <c r="J22" s="12" t="s">
        <v>134</v>
      </c>
    </row>
    <row r="23" spans="9:10" x14ac:dyDescent="0.3">
      <c r="I23" s="13" t="s">
        <v>121</v>
      </c>
      <c r="J23" s="13" t="str">
        <f>IFERROR(HLOOKUP(I23,$A$3:$F$6,2,FALSE),"NOT FOUND")</f>
        <v>KEYBOARD</v>
      </c>
    </row>
    <row r="24" spans="9:10" x14ac:dyDescent="0.3">
      <c r="I24" s="13" t="s">
        <v>122</v>
      </c>
      <c r="J24" s="13" t="str">
        <f t="shared" ref="J24:J25" si="0">IFERROR(HLOOKUP(I24,$A$3:$F$6,2,FALSE),"NOT FOUND")</f>
        <v>MOUSE</v>
      </c>
    </row>
    <row r="25" spans="9:10" x14ac:dyDescent="0.3">
      <c r="I25" s="13" t="s">
        <v>135</v>
      </c>
      <c r="J25" s="21" t="str">
        <f t="shared" si="0"/>
        <v>NOT FOUND</v>
      </c>
    </row>
  </sheetData>
  <mergeCells count="1">
    <mergeCell ref="C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50A4-15DE-4025-9D79-A0EEE9325C66}">
  <dimension ref="A1:O35"/>
  <sheetViews>
    <sheetView workbookViewId="0">
      <selection activeCell="G22" sqref="G22"/>
    </sheetView>
  </sheetViews>
  <sheetFormatPr defaultRowHeight="14.4" x14ac:dyDescent="0.3"/>
  <cols>
    <col min="1" max="1" width="8.88671875" style="20"/>
    <col min="2" max="2" width="10.6640625" style="20" bestFit="1" customWidth="1"/>
    <col min="3" max="4" width="12.77734375" style="20" bestFit="1" customWidth="1"/>
    <col min="5" max="5" width="13.44140625" style="20" bestFit="1" customWidth="1"/>
    <col min="6" max="7" width="8.88671875" style="20"/>
    <col min="8" max="8" width="11.33203125" style="20" bestFit="1" customWidth="1"/>
    <col min="9" max="9" width="12.21875" style="20" bestFit="1" customWidth="1"/>
    <col min="10" max="10" width="8.88671875" style="20"/>
    <col min="11" max="11" width="14.5546875" style="20" bestFit="1" customWidth="1"/>
    <col min="12" max="12" width="18.77734375" style="20" bestFit="1" customWidth="1"/>
    <col min="13" max="13" width="19.109375" style="20" bestFit="1" customWidth="1"/>
    <col min="14" max="14" width="13.44140625" style="20" bestFit="1" customWidth="1"/>
    <col min="15" max="15" width="12.33203125" style="20" bestFit="1" customWidth="1"/>
    <col min="16" max="16384" width="8.88671875" style="20"/>
  </cols>
  <sheetData>
    <row r="1" spans="1:15" ht="15" thickBot="1" x14ac:dyDescent="0.35">
      <c r="A1" s="15" t="s">
        <v>48</v>
      </c>
      <c r="B1" s="15" t="s">
        <v>95</v>
      </c>
      <c r="C1" s="15" t="s">
        <v>70</v>
      </c>
      <c r="D1" s="15" t="s">
        <v>75</v>
      </c>
      <c r="E1" s="15" t="s">
        <v>102</v>
      </c>
      <c r="F1" s="15" t="s">
        <v>103</v>
      </c>
      <c r="G1" s="15" t="s">
        <v>104</v>
      </c>
      <c r="H1" s="15" t="s">
        <v>105</v>
      </c>
      <c r="I1" s="15" t="s">
        <v>84</v>
      </c>
      <c r="K1" s="22"/>
    </row>
    <row r="2" spans="1:15" ht="15" thickBot="1" x14ac:dyDescent="0.35">
      <c r="A2" s="16" t="s">
        <v>49</v>
      </c>
      <c r="B2" s="16" t="s">
        <v>60</v>
      </c>
      <c r="C2" s="16" t="s">
        <v>24</v>
      </c>
      <c r="D2" s="16" t="s">
        <v>76</v>
      </c>
      <c r="E2" s="16">
        <v>45000</v>
      </c>
      <c r="F2" s="16">
        <v>5000</v>
      </c>
      <c r="G2" s="16">
        <v>3000</v>
      </c>
      <c r="H2" s="16">
        <v>8</v>
      </c>
      <c r="I2" s="16" t="s">
        <v>91</v>
      </c>
      <c r="K2" s="27" t="s">
        <v>143</v>
      </c>
      <c r="L2" s="12" t="s">
        <v>70</v>
      </c>
    </row>
    <row r="3" spans="1:15" ht="15" thickBot="1" x14ac:dyDescent="0.35">
      <c r="A3" s="16" t="s">
        <v>50</v>
      </c>
      <c r="B3" s="16" t="s">
        <v>61</v>
      </c>
      <c r="C3" s="16" t="s">
        <v>72</v>
      </c>
      <c r="D3" s="16" t="s">
        <v>78</v>
      </c>
      <c r="E3" s="16">
        <v>52000</v>
      </c>
      <c r="F3" s="16">
        <v>6000</v>
      </c>
      <c r="G3" s="16">
        <v>4000</v>
      </c>
      <c r="H3" s="16">
        <v>5</v>
      </c>
      <c r="I3" s="16" t="s">
        <v>85</v>
      </c>
      <c r="K3" s="13" t="s">
        <v>54</v>
      </c>
      <c r="L3" s="13" t="str">
        <f>_xlfn.XLOOKUP(K3,A1:A9,C1:C9,"NOT FOUND",0,1)</f>
        <v>HR</v>
      </c>
    </row>
    <row r="4" spans="1:15" ht="15" thickBot="1" x14ac:dyDescent="0.35">
      <c r="A4" s="16" t="s">
        <v>51</v>
      </c>
      <c r="B4" s="16" t="s">
        <v>100</v>
      </c>
      <c r="C4" s="16" t="s">
        <v>71</v>
      </c>
      <c r="D4" s="16" t="s">
        <v>77</v>
      </c>
      <c r="E4" s="16">
        <v>38000</v>
      </c>
      <c r="F4" s="16">
        <v>4000</v>
      </c>
      <c r="G4" s="16">
        <v>2500</v>
      </c>
      <c r="H4" s="16">
        <v>3</v>
      </c>
      <c r="I4" s="16" t="s">
        <v>86</v>
      </c>
    </row>
    <row r="5" spans="1:15" ht="15" thickBot="1" x14ac:dyDescent="0.35">
      <c r="A5" s="16" t="s">
        <v>52</v>
      </c>
      <c r="B5" s="16" t="s">
        <v>63</v>
      </c>
      <c r="C5" s="16" t="s">
        <v>73</v>
      </c>
      <c r="D5" s="16" t="s">
        <v>79</v>
      </c>
      <c r="E5" s="16">
        <v>47000</v>
      </c>
      <c r="F5" s="16">
        <v>5000</v>
      </c>
      <c r="G5" s="16">
        <v>3500</v>
      </c>
      <c r="H5" s="16">
        <v>6</v>
      </c>
      <c r="I5" s="16" t="s">
        <v>87</v>
      </c>
    </row>
    <row r="6" spans="1:15" ht="15" thickBot="1" x14ac:dyDescent="0.35">
      <c r="A6" s="16" t="s">
        <v>53</v>
      </c>
      <c r="B6" s="16" t="s">
        <v>101</v>
      </c>
      <c r="C6" s="16" t="s">
        <v>72</v>
      </c>
      <c r="D6" s="16" t="s">
        <v>81</v>
      </c>
      <c r="E6" s="16">
        <v>50000</v>
      </c>
      <c r="F6" s="16">
        <v>5500</v>
      </c>
      <c r="G6" s="16">
        <v>3000</v>
      </c>
      <c r="H6" s="16">
        <v>4</v>
      </c>
      <c r="I6" s="16" t="s">
        <v>89</v>
      </c>
      <c r="K6" s="27" t="s">
        <v>143</v>
      </c>
      <c r="L6" s="12" t="s">
        <v>136</v>
      </c>
      <c r="M6" s="12" t="s">
        <v>137</v>
      </c>
    </row>
    <row r="7" spans="1:15" ht="15" thickBot="1" x14ac:dyDescent="0.35">
      <c r="A7" s="16" t="s">
        <v>54</v>
      </c>
      <c r="B7" s="16" t="s">
        <v>65</v>
      </c>
      <c r="C7" s="16" t="s">
        <v>24</v>
      </c>
      <c r="D7" s="16" t="s">
        <v>82</v>
      </c>
      <c r="E7" s="16">
        <v>32000</v>
      </c>
      <c r="F7" s="16">
        <v>3000</v>
      </c>
      <c r="G7" s="16">
        <v>2000</v>
      </c>
      <c r="H7" s="16">
        <v>2</v>
      </c>
      <c r="I7" s="16" t="s">
        <v>88</v>
      </c>
      <c r="K7" s="13" t="s">
        <v>51</v>
      </c>
      <c r="L7" s="13" t="str">
        <f>_xlfn.XLOOKUP(K7,A1:A9,I1:I9,"NOT FOUND",0,1)</f>
        <v>AMRITSAR</v>
      </c>
      <c r="M7" s="13" t="str">
        <f>VLOOKUP(K7,A1:I9,9,FALSE)</f>
        <v>AMRITSAR</v>
      </c>
    </row>
    <row r="8" spans="1:15" ht="15" thickBot="1" x14ac:dyDescent="0.35">
      <c r="A8" s="16" t="s">
        <v>55</v>
      </c>
      <c r="B8" s="16" t="s">
        <v>66</v>
      </c>
      <c r="C8" s="16" t="s">
        <v>71</v>
      </c>
      <c r="D8" s="16" t="s">
        <v>76</v>
      </c>
      <c r="E8" s="16">
        <v>60000</v>
      </c>
      <c r="F8" s="16">
        <v>7000</v>
      </c>
      <c r="G8" s="16">
        <v>5000</v>
      </c>
      <c r="H8" s="16">
        <v>10</v>
      </c>
      <c r="I8" s="16" t="s">
        <v>91</v>
      </c>
    </row>
    <row r="9" spans="1:15" ht="15" thickBot="1" x14ac:dyDescent="0.35">
      <c r="A9" s="16" t="s">
        <v>56</v>
      </c>
      <c r="B9" s="16" t="s">
        <v>67</v>
      </c>
      <c r="C9" s="16" t="s">
        <v>73</v>
      </c>
      <c r="D9" s="16" t="s">
        <v>77</v>
      </c>
      <c r="E9" s="16">
        <v>41000</v>
      </c>
      <c r="F9" s="16">
        <v>4500</v>
      </c>
      <c r="G9" s="16">
        <v>2800</v>
      </c>
      <c r="H9" s="16">
        <v>5</v>
      </c>
      <c r="I9" s="16" t="s">
        <v>85</v>
      </c>
    </row>
    <row r="10" spans="1:15" x14ac:dyDescent="0.3">
      <c r="K10" s="27" t="s">
        <v>143</v>
      </c>
      <c r="L10" s="12" t="s">
        <v>106</v>
      </c>
    </row>
    <row r="11" spans="1:15" x14ac:dyDescent="0.3">
      <c r="K11" s="13" t="s">
        <v>55</v>
      </c>
      <c r="L11" s="13">
        <f>_xlfn.XLOOKUP(K11,A1:A9,E1:E9,"RECORD NOT FOUND",0,1)</f>
        <v>60000</v>
      </c>
    </row>
    <row r="12" spans="1:15" x14ac:dyDescent="0.3">
      <c r="K12" s="13" t="s">
        <v>96</v>
      </c>
      <c r="L12" s="13" t="str">
        <f>_xlfn.XLOOKUP(K12,A2:A10,E2:E10,"RECORD NOT FOUND",0,1)</f>
        <v>RECORD NOT FOUND</v>
      </c>
    </row>
    <row r="13" spans="1:15" ht="15" thickBot="1" x14ac:dyDescent="0.35"/>
    <row r="14" spans="1:15" ht="15" thickBot="1" x14ac:dyDescent="0.35">
      <c r="A14" s="32" t="s">
        <v>145</v>
      </c>
      <c r="B14" s="32"/>
      <c r="C14" s="32"/>
    </row>
    <row r="15" spans="1:15" x14ac:dyDescent="0.3">
      <c r="L15" s="13" t="s">
        <v>146</v>
      </c>
    </row>
    <row r="16" spans="1:15" x14ac:dyDescent="0.3">
      <c r="K16" s="27" t="s">
        <v>143</v>
      </c>
      <c r="L16" s="12" t="s">
        <v>95</v>
      </c>
      <c r="M16" s="31" t="s">
        <v>70</v>
      </c>
      <c r="N16" s="12" t="s">
        <v>102</v>
      </c>
      <c r="O16" s="12" t="s">
        <v>103</v>
      </c>
    </row>
    <row r="17" spans="11:15" x14ac:dyDescent="0.3">
      <c r="K17" s="13" t="s">
        <v>49</v>
      </c>
      <c r="L17" s="13" t="str" cm="1">
        <f t="array" ref="L17:O17">_xlfn.XLOOKUP(K17,$A$1:$A$9,CHOOSE({1,2,3,4},$B$1:$B$9,$C$1:$C$9,$E$1:$E$9,$F$1:$F$9),"DATA NOT FOUND",0,1)</f>
        <v>AMAN</v>
      </c>
      <c r="M17" s="13" t="str">
        <v>HR</v>
      </c>
      <c r="N17" s="30">
        <v>45000</v>
      </c>
      <c r="O17" s="30">
        <v>5000</v>
      </c>
    </row>
    <row r="18" spans="11:15" x14ac:dyDescent="0.3">
      <c r="K18" s="13" t="s">
        <v>50</v>
      </c>
      <c r="L18" s="13" t="str" cm="1">
        <f t="array" ref="L18:O18">_xlfn.XLOOKUP(K18,$A$1:$A$9,CHOOSE({1,2,3,4},$B$1:$B$9,$C$1:$C$9,$E$1:$E$9,$F$1:$F$9),"DATA NOT FOUND",0,1)</f>
        <v>SIMRAN</v>
      </c>
      <c r="M18" s="13" t="str">
        <v>IT</v>
      </c>
      <c r="N18" s="13">
        <v>52000</v>
      </c>
      <c r="O18" s="13">
        <v>6000</v>
      </c>
    </row>
    <row r="19" spans="11:15" x14ac:dyDescent="0.3">
      <c r="K19" s="13" t="s">
        <v>51</v>
      </c>
      <c r="L19" s="13" t="str" cm="1">
        <f t="array" ref="L19:O19">_xlfn.XLOOKUP(K19,$A$1:$A$9,CHOOSE({1,2,3,4},$B$1:$B$9,$C$1:$C$9,$E$1:$E$9,$F$1:$F$9),"DATA NOT FOUND",0,1)</f>
        <v xml:space="preserve">RAHUL </v>
      </c>
      <c r="M19" s="13" t="str">
        <v>SALES</v>
      </c>
      <c r="N19" s="13">
        <v>38000</v>
      </c>
      <c r="O19" s="13">
        <v>4000</v>
      </c>
    </row>
    <row r="20" spans="11:15" x14ac:dyDescent="0.3">
      <c r="K20" s="13" t="s">
        <v>52</v>
      </c>
      <c r="L20" s="13" t="str" cm="1">
        <f t="array" ref="L20:O20">_xlfn.XLOOKUP(K20,$A$1:$A$9,CHOOSE({1,2,3,4},$B$1:$B$9,$C$1:$C$9,$E$1:$E$9,$F$1:$F$9),"DATA NOT FOUND",0,1)</f>
        <v>PRIYA</v>
      </c>
      <c r="M20" s="13" t="str">
        <v>FINANCE</v>
      </c>
      <c r="N20" s="13">
        <v>47000</v>
      </c>
      <c r="O20" s="13">
        <v>5000</v>
      </c>
    </row>
    <row r="21" spans="11:15" x14ac:dyDescent="0.3">
      <c r="K21" s="13" t="s">
        <v>53</v>
      </c>
      <c r="L21" s="13" t="str" cm="1">
        <f t="array" ref="L21:O21">_xlfn.XLOOKUP(K21,$A$1:$A$9,CHOOSE({1,2,3,4},$B$1:$B$9,$C$1:$C$9,$E$1:$E$9,$F$1:$F$9),"DATA NOT FOUND",0,1)</f>
        <v>KABIR</v>
      </c>
      <c r="M21" s="13" t="str">
        <v>IT</v>
      </c>
      <c r="N21" s="13">
        <v>50000</v>
      </c>
      <c r="O21" s="13">
        <v>5500</v>
      </c>
    </row>
    <row r="22" spans="11:15" x14ac:dyDescent="0.3">
      <c r="K22" s="13" t="s">
        <v>54</v>
      </c>
      <c r="L22" s="13" t="str" cm="1">
        <f t="array" ref="L22:O22">_xlfn.XLOOKUP(K22,$A$1:$A$9,CHOOSE({1,2,3,4},$B$1:$B$9,$C$1:$C$9,$E$1:$E$9,$F$1:$F$9),"DATA NOT FOUND",0,1)</f>
        <v>NEHA</v>
      </c>
      <c r="M22" s="13" t="str">
        <v>HR</v>
      </c>
      <c r="N22" s="13">
        <v>32000</v>
      </c>
      <c r="O22" s="13">
        <v>3000</v>
      </c>
    </row>
    <row r="23" spans="11:15" x14ac:dyDescent="0.3">
      <c r="K23" s="13" t="s">
        <v>55</v>
      </c>
      <c r="L23" s="13" t="str" cm="1">
        <f t="array" ref="L23:O23">_xlfn.XLOOKUP(K23,$A$1:$A$9,CHOOSE({1,2,3,4},$B$1:$B$9,$C$1:$C$9,$E$1:$E$9,$F$1:$F$9),"DATA NOT FOUND",0,1)</f>
        <v>ARJUN</v>
      </c>
      <c r="M23" s="13" t="str">
        <v>SALES</v>
      </c>
      <c r="N23" s="13">
        <v>60000</v>
      </c>
      <c r="O23" s="13">
        <v>7000</v>
      </c>
    </row>
    <row r="24" spans="11:15" x14ac:dyDescent="0.3">
      <c r="K24" s="13" t="s">
        <v>56</v>
      </c>
      <c r="L24" s="13" t="str" cm="1">
        <f t="array" ref="L24:O24">_xlfn.XLOOKUP(K24,$A$1:$A$9,CHOOSE({1,2,3,4},$B$1:$B$9,$C$1:$C$9,$E$1:$E$9,$F$1:$F$9),"DATA NOT FOUND",0,1)</f>
        <v>MEENA</v>
      </c>
      <c r="M24" s="13" t="str">
        <v>FINANCE</v>
      </c>
      <c r="N24" s="13">
        <v>41000</v>
      </c>
      <c r="O24" s="13">
        <v>4500</v>
      </c>
    </row>
    <row r="27" spans="11:15" x14ac:dyDescent="0.3">
      <c r="K27" s="27" t="s">
        <v>143</v>
      </c>
      <c r="L27" s="12" t="s">
        <v>95</v>
      </c>
    </row>
    <row r="28" spans="11:15" x14ac:dyDescent="0.3">
      <c r="K28" s="13" t="s">
        <v>49</v>
      </c>
      <c r="L28" s="13" t="str">
        <f>_xlfn.XLOOKUP(K28,$A$1:$A$9,$B$1:$B$9,"DATA NOT FOUND",0,1)</f>
        <v>AMAN</v>
      </c>
    </row>
    <row r="29" spans="11:15" x14ac:dyDescent="0.3">
      <c r="K29" s="13" t="s">
        <v>50</v>
      </c>
      <c r="L29" s="13" t="str">
        <f t="shared" ref="L29:L35" si="0">_xlfn.XLOOKUP(K29,$A$1:$A$9,$B$1:$B$9,"DATA NOT FOUND",0,1)</f>
        <v>SIMRAN</v>
      </c>
    </row>
    <row r="30" spans="11:15" x14ac:dyDescent="0.3">
      <c r="K30" s="13" t="s">
        <v>51</v>
      </c>
      <c r="L30" s="13" t="str">
        <f t="shared" si="0"/>
        <v xml:space="preserve">RAHUL </v>
      </c>
    </row>
    <row r="31" spans="11:15" x14ac:dyDescent="0.3">
      <c r="K31" s="13" t="s">
        <v>52</v>
      </c>
      <c r="L31" s="13" t="str">
        <f t="shared" si="0"/>
        <v>PRIYA</v>
      </c>
    </row>
    <row r="32" spans="11:15" x14ac:dyDescent="0.3">
      <c r="K32" s="13" t="s">
        <v>53</v>
      </c>
      <c r="L32" s="13" t="str">
        <f t="shared" si="0"/>
        <v>KABIR</v>
      </c>
    </row>
    <row r="33" spans="11:12" x14ac:dyDescent="0.3">
      <c r="K33" s="13" t="s">
        <v>54</v>
      </c>
      <c r="L33" s="13" t="str">
        <f t="shared" si="0"/>
        <v>NEHA</v>
      </c>
    </row>
    <row r="34" spans="11:12" x14ac:dyDescent="0.3">
      <c r="K34" s="13" t="s">
        <v>55</v>
      </c>
      <c r="L34" s="13" t="str">
        <f t="shared" si="0"/>
        <v>ARJUN</v>
      </c>
    </row>
    <row r="35" spans="11:12" x14ac:dyDescent="0.3">
      <c r="K35" s="13" t="s">
        <v>56</v>
      </c>
      <c r="L35" s="13" t="str">
        <f t="shared" si="0"/>
        <v>MEENA</v>
      </c>
    </row>
  </sheetData>
  <mergeCells count="1"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XLOOKUP</vt:lpstr>
      <vt:lpstr>DATA</vt:lpstr>
      <vt:lpstr>XLOOKUP ASSIGNMENT</vt:lpstr>
      <vt:lpstr>PARTA-VLOOKUP</vt:lpstr>
      <vt:lpstr>PARTB-HLOOKUP</vt:lpstr>
      <vt:lpstr>PARTC-XLOOKUP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Ramandeep Kaur</dc:creator>
  <cp:lastModifiedBy>Lakshpreet</cp:lastModifiedBy>
  <dcterms:created xsi:type="dcterms:W3CDTF">2026-05-22T06:00:42Z</dcterms:created>
  <dcterms:modified xsi:type="dcterms:W3CDTF">2026-07-21T11:54:43Z</dcterms:modified>
</cp:coreProperties>
</file>